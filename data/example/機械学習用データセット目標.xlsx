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3032827\Desktop\python_pj\TAT_outlier_detection\data\example\"/>
    </mc:Choice>
  </mc:AlternateContent>
  <xr:revisionPtr revIDLastSave="0" documentId="13_ncr:1_{343528B9-0656-4B47-86AE-72F8F926FA99}" xr6:coauthVersionLast="47" xr6:coauthVersionMax="47" xr10:uidLastSave="{00000000-0000-0000-0000-000000000000}"/>
  <bookViews>
    <workbookView xWindow="-120" yWindow="-16320" windowWidth="29040" windowHeight="15720" xr2:uid="{331750B9-C0ED-4207-BD89-3ABA25E76CCE}"/>
  </bookViews>
  <sheets>
    <sheet name="測定値_TAT1" sheetId="1" r:id="rId1"/>
  </sheets>
  <definedNames>
    <definedName name="_xlnm._FilterDatabase" localSheetId="0" hidden="1">測定値_TAT1!$A$1:$O$190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" i="1" l="1"/>
  <c r="AC190" i="1" l="1"/>
  <c r="W190" i="1" a="1"/>
  <c r="W190" i="1" s="1"/>
  <c r="V190" i="1" a="1"/>
  <c r="V190" i="1" s="1"/>
  <c r="U190" i="1" a="1"/>
  <c r="U190" i="1" s="1"/>
  <c r="T190" i="1" a="1"/>
  <c r="T190" i="1" s="1"/>
  <c r="R190" i="1"/>
  <c r="Q190" i="1"/>
  <c r="P190" i="1"/>
  <c r="AC189" i="1"/>
  <c r="W189" i="1" a="1"/>
  <c r="W189" i="1" s="1"/>
  <c r="V189" i="1" a="1"/>
  <c r="V189" i="1" s="1"/>
  <c r="U189" i="1" a="1"/>
  <c r="U189" i="1" s="1"/>
  <c r="T189" i="1" a="1"/>
  <c r="T189" i="1" s="1"/>
  <c r="R189" i="1"/>
  <c r="Q189" i="1"/>
  <c r="P189" i="1"/>
  <c r="AC188" i="1"/>
  <c r="W188" i="1" a="1"/>
  <c r="W188" i="1" s="1"/>
  <c r="V188" i="1" a="1"/>
  <c r="V188" i="1" s="1"/>
  <c r="U188" i="1" a="1"/>
  <c r="U188" i="1" s="1"/>
  <c r="T188" i="1" a="1"/>
  <c r="T188" i="1" s="1"/>
  <c r="R188" i="1"/>
  <c r="Q188" i="1"/>
  <c r="P188" i="1"/>
  <c r="AC187" i="1"/>
  <c r="W187" i="1" a="1"/>
  <c r="W187" i="1" s="1"/>
  <c r="V187" i="1" a="1"/>
  <c r="V187" i="1" s="1"/>
  <c r="U187" i="1" a="1"/>
  <c r="U187" i="1" s="1"/>
  <c r="T187" i="1" a="1"/>
  <c r="T187" i="1" s="1"/>
  <c r="R187" i="1"/>
  <c r="Q187" i="1"/>
  <c r="P187" i="1"/>
  <c r="AC186" i="1"/>
  <c r="W186" i="1" a="1"/>
  <c r="W186" i="1" s="1"/>
  <c r="V186" i="1" a="1"/>
  <c r="V186" i="1" s="1"/>
  <c r="U186" i="1" a="1"/>
  <c r="U186" i="1" s="1"/>
  <c r="T186" i="1" a="1"/>
  <c r="T186" i="1" s="1"/>
  <c r="R186" i="1"/>
  <c r="Q186" i="1"/>
  <c r="P186" i="1"/>
  <c r="AC185" i="1"/>
  <c r="W185" i="1" a="1"/>
  <c r="W185" i="1" s="1"/>
  <c r="V185" i="1" a="1"/>
  <c r="V185" i="1" s="1"/>
  <c r="U185" i="1" a="1"/>
  <c r="U185" i="1" s="1"/>
  <c r="T185" i="1" a="1"/>
  <c r="T185" i="1" s="1"/>
  <c r="R185" i="1"/>
  <c r="Q185" i="1"/>
  <c r="P185" i="1"/>
  <c r="AC184" i="1"/>
  <c r="W184" i="1" a="1"/>
  <c r="W184" i="1" s="1"/>
  <c r="V184" i="1" a="1"/>
  <c r="V184" i="1" s="1"/>
  <c r="U184" i="1" a="1"/>
  <c r="U184" i="1" s="1"/>
  <c r="T184" i="1" a="1"/>
  <c r="T184" i="1" s="1"/>
  <c r="R184" i="1"/>
  <c r="Q184" i="1"/>
  <c r="P184" i="1"/>
  <c r="AC183" i="1"/>
  <c r="W183" i="1" a="1"/>
  <c r="W183" i="1" s="1"/>
  <c r="V183" i="1" a="1"/>
  <c r="V183" i="1" s="1"/>
  <c r="U183" i="1" a="1"/>
  <c r="U183" i="1" s="1"/>
  <c r="T183" i="1" a="1"/>
  <c r="T183" i="1" s="1"/>
  <c r="R183" i="1"/>
  <c r="Q183" i="1"/>
  <c r="P183" i="1"/>
  <c r="AC182" i="1"/>
  <c r="W182" i="1" a="1"/>
  <c r="W182" i="1" s="1"/>
  <c r="V182" i="1" a="1"/>
  <c r="V182" i="1" s="1"/>
  <c r="U182" i="1" a="1"/>
  <c r="U182" i="1" s="1"/>
  <c r="T182" i="1" a="1"/>
  <c r="T182" i="1" s="1"/>
  <c r="R182" i="1"/>
  <c r="Q182" i="1"/>
  <c r="P182" i="1"/>
  <c r="AC181" i="1"/>
  <c r="W181" i="1" a="1"/>
  <c r="W181" i="1" s="1"/>
  <c r="V181" i="1" a="1"/>
  <c r="V181" i="1" s="1"/>
  <c r="U181" i="1" a="1"/>
  <c r="U181" i="1" s="1"/>
  <c r="T181" i="1" a="1"/>
  <c r="T181" i="1" s="1"/>
  <c r="R181" i="1"/>
  <c r="Q181" i="1"/>
  <c r="P181" i="1"/>
  <c r="AC180" i="1"/>
  <c r="W180" i="1" a="1"/>
  <c r="W180" i="1" s="1"/>
  <c r="V180" i="1" a="1"/>
  <c r="V180" i="1" s="1"/>
  <c r="U180" i="1" a="1"/>
  <c r="U180" i="1" s="1"/>
  <c r="T180" i="1" a="1"/>
  <c r="T180" i="1" s="1"/>
  <c r="R180" i="1"/>
  <c r="Q180" i="1"/>
  <c r="P180" i="1"/>
  <c r="AC179" i="1"/>
  <c r="W179" i="1" a="1"/>
  <c r="W179" i="1" s="1"/>
  <c r="V179" i="1" a="1"/>
  <c r="V179" i="1" s="1"/>
  <c r="U179" i="1" a="1"/>
  <c r="U179" i="1" s="1"/>
  <c r="T179" i="1" a="1"/>
  <c r="T179" i="1" s="1"/>
  <c r="R179" i="1"/>
  <c r="Q179" i="1"/>
  <c r="P179" i="1"/>
  <c r="AC178" i="1"/>
  <c r="W178" i="1" a="1"/>
  <c r="W178" i="1" s="1"/>
  <c r="V178" i="1" a="1"/>
  <c r="V178" i="1" s="1"/>
  <c r="U178" i="1" a="1"/>
  <c r="U178" i="1" s="1"/>
  <c r="T178" i="1" a="1"/>
  <c r="T178" i="1" s="1"/>
  <c r="R178" i="1"/>
  <c r="Q178" i="1"/>
  <c r="P178" i="1"/>
  <c r="AC177" i="1"/>
  <c r="W177" i="1" a="1"/>
  <c r="W177" i="1" s="1"/>
  <c r="V177" i="1" a="1"/>
  <c r="V177" i="1" s="1"/>
  <c r="U177" i="1" a="1"/>
  <c r="U177" i="1" s="1"/>
  <c r="T177" i="1" a="1"/>
  <c r="T177" i="1" s="1"/>
  <c r="R177" i="1"/>
  <c r="Q177" i="1"/>
  <c r="P177" i="1"/>
  <c r="AC176" i="1"/>
  <c r="W176" i="1" a="1"/>
  <c r="W176" i="1" s="1"/>
  <c r="V176" i="1" a="1"/>
  <c r="V176" i="1" s="1"/>
  <c r="U176" i="1" a="1"/>
  <c r="U176" i="1" s="1"/>
  <c r="T176" i="1" a="1"/>
  <c r="T176" i="1" s="1"/>
  <c r="R176" i="1"/>
  <c r="Q176" i="1"/>
  <c r="P176" i="1"/>
  <c r="AC175" i="1"/>
  <c r="W175" i="1" a="1"/>
  <c r="W175" i="1" s="1"/>
  <c r="V175" i="1" a="1"/>
  <c r="V175" i="1" s="1"/>
  <c r="U175" i="1" a="1"/>
  <c r="U175" i="1" s="1"/>
  <c r="T175" i="1" a="1"/>
  <c r="T175" i="1" s="1"/>
  <c r="R175" i="1"/>
  <c r="Q175" i="1"/>
  <c r="P175" i="1"/>
  <c r="AC174" i="1"/>
  <c r="W174" i="1" a="1"/>
  <c r="W174" i="1" s="1"/>
  <c r="V174" i="1" a="1"/>
  <c r="V174" i="1" s="1"/>
  <c r="U174" i="1" a="1"/>
  <c r="U174" i="1" s="1"/>
  <c r="T174" i="1" a="1"/>
  <c r="T174" i="1" s="1"/>
  <c r="R174" i="1"/>
  <c r="Q174" i="1"/>
  <c r="P174" i="1"/>
  <c r="AC173" i="1"/>
  <c r="W173" i="1" a="1"/>
  <c r="W173" i="1" s="1"/>
  <c r="V173" i="1" a="1"/>
  <c r="V173" i="1" s="1"/>
  <c r="U173" i="1" a="1"/>
  <c r="U173" i="1" s="1"/>
  <c r="T173" i="1" a="1"/>
  <c r="T173" i="1" s="1"/>
  <c r="R173" i="1"/>
  <c r="Q173" i="1"/>
  <c r="P173" i="1"/>
  <c r="AC172" i="1"/>
  <c r="W172" i="1" a="1"/>
  <c r="W172" i="1" s="1"/>
  <c r="V172" i="1" a="1"/>
  <c r="V172" i="1" s="1"/>
  <c r="U172" i="1" a="1"/>
  <c r="U172" i="1" s="1"/>
  <c r="T172" i="1" a="1"/>
  <c r="T172" i="1" s="1"/>
  <c r="R172" i="1"/>
  <c r="Q172" i="1"/>
  <c r="P172" i="1"/>
  <c r="AC171" i="1"/>
  <c r="W171" i="1" a="1"/>
  <c r="W171" i="1" s="1"/>
  <c r="V171" i="1" a="1"/>
  <c r="V171" i="1" s="1"/>
  <c r="U171" i="1" a="1"/>
  <c r="U171" i="1" s="1"/>
  <c r="T171" i="1" a="1"/>
  <c r="T171" i="1" s="1"/>
  <c r="R171" i="1"/>
  <c r="Q171" i="1"/>
  <c r="P171" i="1"/>
  <c r="AC170" i="1"/>
  <c r="W170" i="1" a="1"/>
  <c r="W170" i="1" s="1"/>
  <c r="V170" i="1" a="1"/>
  <c r="V170" i="1" s="1"/>
  <c r="U170" i="1" a="1"/>
  <c r="U170" i="1" s="1"/>
  <c r="T170" i="1" a="1"/>
  <c r="T170" i="1" s="1"/>
  <c r="R170" i="1"/>
  <c r="Q170" i="1"/>
  <c r="P170" i="1"/>
  <c r="AC169" i="1"/>
  <c r="W169" i="1" a="1"/>
  <c r="W169" i="1" s="1"/>
  <c r="V169" i="1" a="1"/>
  <c r="V169" i="1" s="1"/>
  <c r="U169" i="1" a="1"/>
  <c r="U169" i="1" s="1"/>
  <c r="T169" i="1" a="1"/>
  <c r="T169" i="1" s="1"/>
  <c r="R169" i="1"/>
  <c r="Q169" i="1"/>
  <c r="P169" i="1"/>
  <c r="AC168" i="1"/>
  <c r="W168" i="1" a="1"/>
  <c r="W168" i="1" s="1"/>
  <c r="V168" i="1" a="1"/>
  <c r="V168" i="1" s="1"/>
  <c r="U168" i="1" a="1"/>
  <c r="U168" i="1" s="1"/>
  <c r="T168" i="1" a="1"/>
  <c r="T168" i="1" s="1"/>
  <c r="R168" i="1"/>
  <c r="Q168" i="1"/>
  <c r="P168" i="1"/>
  <c r="AC167" i="1"/>
  <c r="W167" i="1" a="1"/>
  <c r="W167" i="1" s="1"/>
  <c r="V167" i="1" a="1"/>
  <c r="V167" i="1" s="1"/>
  <c r="U167" i="1" a="1"/>
  <c r="U167" i="1" s="1"/>
  <c r="T167" i="1" a="1"/>
  <c r="T167" i="1" s="1"/>
  <c r="R167" i="1"/>
  <c r="Q167" i="1"/>
  <c r="P167" i="1"/>
  <c r="AC166" i="1"/>
  <c r="W166" i="1" a="1"/>
  <c r="W166" i="1" s="1"/>
  <c r="V166" i="1" a="1"/>
  <c r="V166" i="1" s="1"/>
  <c r="U166" i="1" a="1"/>
  <c r="U166" i="1" s="1"/>
  <c r="T166" i="1" a="1"/>
  <c r="T166" i="1" s="1"/>
  <c r="R166" i="1"/>
  <c r="Q166" i="1"/>
  <c r="P166" i="1"/>
  <c r="AC165" i="1"/>
  <c r="W165" i="1" a="1"/>
  <c r="W165" i="1" s="1"/>
  <c r="V165" i="1" a="1"/>
  <c r="V165" i="1" s="1"/>
  <c r="U165" i="1" a="1"/>
  <c r="U165" i="1" s="1"/>
  <c r="T165" i="1" a="1"/>
  <c r="T165" i="1" s="1"/>
  <c r="R165" i="1"/>
  <c r="Q165" i="1"/>
  <c r="P165" i="1"/>
  <c r="AC164" i="1"/>
  <c r="W164" i="1" a="1"/>
  <c r="W164" i="1" s="1"/>
  <c r="V164" i="1" a="1"/>
  <c r="V164" i="1" s="1"/>
  <c r="U164" i="1" a="1"/>
  <c r="U164" i="1" s="1"/>
  <c r="T164" i="1" a="1"/>
  <c r="T164" i="1" s="1"/>
  <c r="R164" i="1"/>
  <c r="Q164" i="1"/>
  <c r="P164" i="1"/>
  <c r="AC163" i="1"/>
  <c r="W163" i="1" a="1"/>
  <c r="W163" i="1" s="1"/>
  <c r="V163" i="1" a="1"/>
  <c r="V163" i="1" s="1"/>
  <c r="U163" i="1" a="1"/>
  <c r="U163" i="1" s="1"/>
  <c r="T163" i="1" a="1"/>
  <c r="T163" i="1" s="1"/>
  <c r="R163" i="1"/>
  <c r="Q163" i="1"/>
  <c r="P163" i="1"/>
  <c r="AC162" i="1"/>
  <c r="W162" i="1" a="1"/>
  <c r="W162" i="1" s="1"/>
  <c r="V162" i="1" a="1"/>
  <c r="V162" i="1" s="1"/>
  <c r="U162" i="1" a="1"/>
  <c r="U162" i="1" s="1"/>
  <c r="T162" i="1" a="1"/>
  <c r="T162" i="1" s="1"/>
  <c r="R162" i="1"/>
  <c r="Q162" i="1"/>
  <c r="P162" i="1"/>
  <c r="AC161" i="1"/>
  <c r="W161" i="1" a="1"/>
  <c r="W161" i="1" s="1"/>
  <c r="V161" i="1" a="1"/>
  <c r="V161" i="1" s="1"/>
  <c r="U161" i="1" a="1"/>
  <c r="U161" i="1" s="1"/>
  <c r="T161" i="1" a="1"/>
  <c r="T161" i="1" s="1"/>
  <c r="R161" i="1"/>
  <c r="Q161" i="1"/>
  <c r="P161" i="1"/>
  <c r="AC160" i="1"/>
  <c r="W160" i="1" a="1"/>
  <c r="W160" i="1" s="1"/>
  <c r="V160" i="1" a="1"/>
  <c r="V160" i="1" s="1"/>
  <c r="U160" i="1" a="1"/>
  <c r="U160" i="1" s="1"/>
  <c r="T160" i="1" a="1"/>
  <c r="T160" i="1" s="1"/>
  <c r="R160" i="1"/>
  <c r="Q160" i="1"/>
  <c r="P160" i="1"/>
  <c r="AC159" i="1"/>
  <c r="W159" i="1" a="1"/>
  <c r="W159" i="1" s="1"/>
  <c r="V159" i="1" a="1"/>
  <c r="V159" i="1" s="1"/>
  <c r="U159" i="1" a="1"/>
  <c r="U159" i="1" s="1"/>
  <c r="T159" i="1" a="1"/>
  <c r="T159" i="1" s="1"/>
  <c r="R159" i="1"/>
  <c r="Q159" i="1"/>
  <c r="P159" i="1"/>
  <c r="AC158" i="1"/>
  <c r="W158" i="1" a="1"/>
  <c r="W158" i="1" s="1"/>
  <c r="V158" i="1" a="1"/>
  <c r="V158" i="1" s="1"/>
  <c r="U158" i="1" a="1"/>
  <c r="U158" i="1" s="1"/>
  <c r="T158" i="1" a="1"/>
  <c r="T158" i="1" s="1"/>
  <c r="R158" i="1"/>
  <c r="Q158" i="1"/>
  <c r="P158" i="1"/>
  <c r="AC157" i="1"/>
  <c r="W157" i="1" a="1"/>
  <c r="W157" i="1" s="1"/>
  <c r="V157" i="1" a="1"/>
  <c r="V157" i="1" s="1"/>
  <c r="U157" i="1" a="1"/>
  <c r="U157" i="1" s="1"/>
  <c r="T157" i="1" a="1"/>
  <c r="T157" i="1" s="1"/>
  <c r="R157" i="1"/>
  <c r="Q157" i="1"/>
  <c r="P157" i="1"/>
  <c r="AC156" i="1"/>
  <c r="W156" i="1" a="1"/>
  <c r="W156" i="1" s="1"/>
  <c r="V156" i="1" a="1"/>
  <c r="V156" i="1" s="1"/>
  <c r="U156" i="1" a="1"/>
  <c r="U156" i="1" s="1"/>
  <c r="T156" i="1" a="1"/>
  <c r="T156" i="1" s="1"/>
  <c r="R156" i="1"/>
  <c r="Q156" i="1"/>
  <c r="P156" i="1"/>
  <c r="AC155" i="1"/>
  <c r="W155" i="1" a="1"/>
  <c r="W155" i="1" s="1"/>
  <c r="V155" i="1" a="1"/>
  <c r="V155" i="1" s="1"/>
  <c r="U155" i="1" a="1"/>
  <c r="U155" i="1" s="1"/>
  <c r="T155" i="1" a="1"/>
  <c r="T155" i="1" s="1"/>
  <c r="R155" i="1"/>
  <c r="Q155" i="1"/>
  <c r="P155" i="1"/>
  <c r="AC154" i="1"/>
  <c r="W154" i="1" a="1"/>
  <c r="W154" i="1" s="1"/>
  <c r="V154" i="1" a="1"/>
  <c r="V154" i="1" s="1"/>
  <c r="U154" i="1" a="1"/>
  <c r="U154" i="1" s="1"/>
  <c r="T154" i="1" a="1"/>
  <c r="T154" i="1" s="1"/>
  <c r="R154" i="1"/>
  <c r="Q154" i="1"/>
  <c r="P154" i="1"/>
  <c r="AC153" i="1"/>
  <c r="W153" i="1" a="1"/>
  <c r="W153" i="1" s="1"/>
  <c r="V153" i="1" a="1"/>
  <c r="V153" i="1" s="1"/>
  <c r="U153" i="1" a="1"/>
  <c r="U153" i="1" s="1"/>
  <c r="T153" i="1" a="1"/>
  <c r="T153" i="1" s="1"/>
  <c r="R153" i="1"/>
  <c r="Q153" i="1"/>
  <c r="P153" i="1"/>
  <c r="AC152" i="1"/>
  <c r="W152" i="1" a="1"/>
  <c r="W152" i="1" s="1"/>
  <c r="V152" i="1" a="1"/>
  <c r="V152" i="1" s="1"/>
  <c r="U152" i="1" a="1"/>
  <c r="U152" i="1" s="1"/>
  <c r="T152" i="1" a="1"/>
  <c r="T152" i="1" s="1"/>
  <c r="R152" i="1"/>
  <c r="Q152" i="1"/>
  <c r="P152" i="1"/>
  <c r="AC151" i="1"/>
  <c r="W151" i="1" a="1"/>
  <c r="W151" i="1" s="1"/>
  <c r="V151" i="1" a="1"/>
  <c r="V151" i="1" s="1"/>
  <c r="U151" i="1" a="1"/>
  <c r="U151" i="1" s="1"/>
  <c r="T151" i="1" a="1"/>
  <c r="T151" i="1" s="1"/>
  <c r="R151" i="1"/>
  <c r="Q151" i="1"/>
  <c r="P151" i="1"/>
  <c r="AC150" i="1"/>
  <c r="W150" i="1" a="1"/>
  <c r="W150" i="1" s="1"/>
  <c r="V150" i="1" a="1"/>
  <c r="V150" i="1" s="1"/>
  <c r="U150" i="1" a="1"/>
  <c r="U150" i="1" s="1"/>
  <c r="T150" i="1" a="1"/>
  <c r="T150" i="1" s="1"/>
  <c r="R150" i="1"/>
  <c r="Q150" i="1"/>
  <c r="P150" i="1"/>
  <c r="AC149" i="1"/>
  <c r="W149" i="1" a="1"/>
  <c r="W149" i="1" s="1"/>
  <c r="V149" i="1" a="1"/>
  <c r="V149" i="1" s="1"/>
  <c r="U149" i="1" a="1"/>
  <c r="U149" i="1" s="1"/>
  <c r="T149" i="1" a="1"/>
  <c r="T149" i="1" s="1"/>
  <c r="R149" i="1"/>
  <c r="Q149" i="1"/>
  <c r="P149" i="1"/>
  <c r="AC148" i="1"/>
  <c r="W148" i="1" a="1"/>
  <c r="W148" i="1" s="1"/>
  <c r="V148" i="1" a="1"/>
  <c r="V148" i="1" s="1"/>
  <c r="U148" i="1" a="1"/>
  <c r="U148" i="1" s="1"/>
  <c r="T148" i="1" a="1"/>
  <c r="T148" i="1" s="1"/>
  <c r="R148" i="1"/>
  <c r="Q148" i="1"/>
  <c r="P148" i="1"/>
  <c r="AC147" i="1"/>
  <c r="W147" i="1" a="1"/>
  <c r="W147" i="1" s="1"/>
  <c r="V147" i="1" a="1"/>
  <c r="V147" i="1" s="1"/>
  <c r="U147" i="1" a="1"/>
  <c r="U147" i="1" s="1"/>
  <c r="T147" i="1" a="1"/>
  <c r="T147" i="1" s="1"/>
  <c r="R147" i="1"/>
  <c r="Q147" i="1"/>
  <c r="P147" i="1"/>
  <c r="AC146" i="1"/>
  <c r="W146" i="1" a="1"/>
  <c r="W146" i="1" s="1"/>
  <c r="V146" i="1" a="1"/>
  <c r="V146" i="1" s="1"/>
  <c r="U146" i="1" a="1"/>
  <c r="U146" i="1" s="1"/>
  <c r="T146" i="1" a="1"/>
  <c r="T146" i="1" s="1"/>
  <c r="R146" i="1"/>
  <c r="Q146" i="1"/>
  <c r="P146" i="1"/>
  <c r="AC145" i="1"/>
  <c r="W145" i="1" a="1"/>
  <c r="W145" i="1" s="1"/>
  <c r="V145" i="1" a="1"/>
  <c r="V145" i="1" s="1"/>
  <c r="U145" i="1" a="1"/>
  <c r="U145" i="1" s="1"/>
  <c r="T145" i="1" a="1"/>
  <c r="T145" i="1" s="1"/>
  <c r="R145" i="1"/>
  <c r="Q145" i="1"/>
  <c r="P145" i="1"/>
  <c r="AC144" i="1"/>
  <c r="W144" i="1" a="1"/>
  <c r="W144" i="1" s="1"/>
  <c r="V144" i="1" a="1"/>
  <c r="V144" i="1" s="1"/>
  <c r="U144" i="1" a="1"/>
  <c r="U144" i="1" s="1"/>
  <c r="T144" i="1" a="1"/>
  <c r="T144" i="1" s="1"/>
  <c r="R144" i="1"/>
  <c r="Q144" i="1"/>
  <c r="P144" i="1"/>
  <c r="AC143" i="1"/>
  <c r="W143" i="1" a="1"/>
  <c r="W143" i="1" s="1"/>
  <c r="V143" i="1" a="1"/>
  <c r="V143" i="1" s="1"/>
  <c r="U143" i="1" a="1"/>
  <c r="U143" i="1" s="1"/>
  <c r="T143" i="1" a="1"/>
  <c r="T143" i="1" s="1"/>
  <c r="R143" i="1"/>
  <c r="Q143" i="1"/>
  <c r="P143" i="1"/>
  <c r="AC142" i="1"/>
  <c r="W142" i="1" a="1"/>
  <c r="W142" i="1" s="1"/>
  <c r="V142" i="1" a="1"/>
  <c r="V142" i="1" s="1"/>
  <c r="U142" i="1" a="1"/>
  <c r="U142" i="1" s="1"/>
  <c r="T142" i="1" a="1"/>
  <c r="T142" i="1" s="1"/>
  <c r="R142" i="1"/>
  <c r="Q142" i="1"/>
  <c r="P142" i="1"/>
  <c r="AC141" i="1"/>
  <c r="W141" i="1" a="1"/>
  <c r="W141" i="1" s="1"/>
  <c r="V141" i="1" a="1"/>
  <c r="V141" i="1" s="1"/>
  <c r="U141" i="1" a="1"/>
  <c r="U141" i="1" s="1"/>
  <c r="T141" i="1" a="1"/>
  <c r="T141" i="1" s="1"/>
  <c r="R141" i="1"/>
  <c r="Q141" i="1"/>
  <c r="P141" i="1"/>
  <c r="AC140" i="1"/>
  <c r="W140" i="1" a="1"/>
  <c r="W140" i="1" s="1"/>
  <c r="V140" i="1" a="1"/>
  <c r="V140" i="1" s="1"/>
  <c r="U140" i="1" a="1"/>
  <c r="U140" i="1" s="1"/>
  <c r="T140" i="1" a="1"/>
  <c r="T140" i="1" s="1"/>
  <c r="R140" i="1"/>
  <c r="Q140" i="1"/>
  <c r="P140" i="1"/>
  <c r="AC139" i="1"/>
  <c r="W139" i="1" a="1"/>
  <c r="W139" i="1" s="1"/>
  <c r="V139" i="1" a="1"/>
  <c r="V139" i="1" s="1"/>
  <c r="U139" i="1" a="1"/>
  <c r="U139" i="1" s="1"/>
  <c r="T139" i="1" a="1"/>
  <c r="T139" i="1" s="1"/>
  <c r="R139" i="1"/>
  <c r="Q139" i="1"/>
  <c r="P139" i="1"/>
  <c r="AC138" i="1"/>
  <c r="W138" i="1" a="1"/>
  <c r="W138" i="1" s="1"/>
  <c r="V138" i="1" a="1"/>
  <c r="V138" i="1" s="1"/>
  <c r="U138" i="1" a="1"/>
  <c r="U138" i="1" s="1"/>
  <c r="T138" i="1" a="1"/>
  <c r="T138" i="1" s="1"/>
  <c r="R138" i="1"/>
  <c r="Q138" i="1"/>
  <c r="P138" i="1"/>
  <c r="AC137" i="1"/>
  <c r="W137" i="1" a="1"/>
  <c r="W137" i="1" s="1"/>
  <c r="V137" i="1" a="1"/>
  <c r="V137" i="1" s="1"/>
  <c r="U137" i="1" a="1"/>
  <c r="U137" i="1" s="1"/>
  <c r="T137" i="1" a="1"/>
  <c r="T137" i="1" s="1"/>
  <c r="R137" i="1"/>
  <c r="Q137" i="1"/>
  <c r="P137" i="1"/>
  <c r="AC136" i="1"/>
  <c r="W136" i="1" a="1"/>
  <c r="W136" i="1" s="1"/>
  <c r="V136" i="1" a="1"/>
  <c r="V136" i="1" s="1"/>
  <c r="U136" i="1" a="1"/>
  <c r="U136" i="1" s="1"/>
  <c r="T136" i="1" a="1"/>
  <c r="T136" i="1" s="1"/>
  <c r="R136" i="1"/>
  <c r="Q136" i="1"/>
  <c r="P136" i="1"/>
  <c r="AC135" i="1"/>
  <c r="W135" i="1" a="1"/>
  <c r="W135" i="1" s="1"/>
  <c r="V135" i="1" a="1"/>
  <c r="V135" i="1" s="1"/>
  <c r="U135" i="1" a="1"/>
  <c r="U135" i="1" s="1"/>
  <c r="T135" i="1" a="1"/>
  <c r="T135" i="1" s="1"/>
  <c r="R135" i="1"/>
  <c r="Q135" i="1"/>
  <c r="P135" i="1"/>
  <c r="AC134" i="1"/>
  <c r="W134" i="1" a="1"/>
  <c r="W134" i="1" s="1"/>
  <c r="V134" i="1" a="1"/>
  <c r="V134" i="1" s="1"/>
  <c r="U134" i="1" a="1"/>
  <c r="U134" i="1" s="1"/>
  <c r="T134" i="1" a="1"/>
  <c r="T134" i="1" s="1"/>
  <c r="R134" i="1"/>
  <c r="Q134" i="1"/>
  <c r="P134" i="1"/>
  <c r="AC133" i="1"/>
  <c r="W133" i="1" a="1"/>
  <c r="W133" i="1" s="1"/>
  <c r="V133" i="1" a="1"/>
  <c r="V133" i="1" s="1"/>
  <c r="U133" i="1" a="1"/>
  <c r="U133" i="1" s="1"/>
  <c r="T133" i="1" a="1"/>
  <c r="T133" i="1" s="1"/>
  <c r="R133" i="1"/>
  <c r="Q133" i="1"/>
  <c r="P133" i="1"/>
  <c r="AC132" i="1"/>
  <c r="W132" i="1" a="1"/>
  <c r="W132" i="1" s="1"/>
  <c r="V132" i="1" a="1"/>
  <c r="V132" i="1" s="1"/>
  <c r="U132" i="1" a="1"/>
  <c r="U132" i="1" s="1"/>
  <c r="T132" i="1" a="1"/>
  <c r="T132" i="1" s="1"/>
  <c r="R132" i="1"/>
  <c r="Q132" i="1"/>
  <c r="P132" i="1"/>
  <c r="AC131" i="1"/>
  <c r="W131" i="1" a="1"/>
  <c r="W131" i="1" s="1"/>
  <c r="V131" i="1" a="1"/>
  <c r="V131" i="1" s="1"/>
  <c r="U131" i="1" a="1"/>
  <c r="U131" i="1" s="1"/>
  <c r="T131" i="1" a="1"/>
  <c r="T131" i="1" s="1"/>
  <c r="R131" i="1"/>
  <c r="Q131" i="1"/>
  <c r="P131" i="1"/>
  <c r="AC130" i="1"/>
  <c r="W130" i="1" a="1"/>
  <c r="W130" i="1" s="1"/>
  <c r="V130" i="1" a="1"/>
  <c r="V130" i="1" s="1"/>
  <c r="U130" i="1" a="1"/>
  <c r="U130" i="1" s="1"/>
  <c r="T130" i="1" a="1"/>
  <c r="T130" i="1" s="1"/>
  <c r="R130" i="1"/>
  <c r="Q130" i="1"/>
  <c r="P130" i="1"/>
  <c r="AC129" i="1"/>
  <c r="W129" i="1" a="1"/>
  <c r="W129" i="1" s="1"/>
  <c r="V129" i="1" a="1"/>
  <c r="V129" i="1" s="1"/>
  <c r="U129" i="1" a="1"/>
  <c r="U129" i="1" s="1"/>
  <c r="T129" i="1" a="1"/>
  <c r="T129" i="1" s="1"/>
  <c r="R129" i="1"/>
  <c r="Q129" i="1"/>
  <c r="P129" i="1"/>
  <c r="AC128" i="1"/>
  <c r="W128" i="1" a="1"/>
  <c r="W128" i="1" s="1"/>
  <c r="V128" i="1" a="1"/>
  <c r="V128" i="1" s="1"/>
  <c r="U128" i="1" a="1"/>
  <c r="U128" i="1" s="1"/>
  <c r="T128" i="1" a="1"/>
  <c r="T128" i="1" s="1"/>
  <c r="R128" i="1"/>
  <c r="Q128" i="1"/>
  <c r="P128" i="1"/>
  <c r="AC127" i="1"/>
  <c r="W127" i="1" a="1"/>
  <c r="W127" i="1" s="1"/>
  <c r="V127" i="1" a="1"/>
  <c r="V127" i="1" s="1"/>
  <c r="U127" i="1" a="1"/>
  <c r="U127" i="1" s="1"/>
  <c r="T127" i="1" a="1"/>
  <c r="T127" i="1" s="1"/>
  <c r="R127" i="1"/>
  <c r="Q127" i="1"/>
  <c r="P127" i="1"/>
  <c r="AC126" i="1"/>
  <c r="W126" i="1" a="1"/>
  <c r="W126" i="1" s="1"/>
  <c r="V126" i="1" a="1"/>
  <c r="V126" i="1" s="1"/>
  <c r="U126" i="1" a="1"/>
  <c r="U126" i="1" s="1"/>
  <c r="T126" i="1" a="1"/>
  <c r="T126" i="1" s="1"/>
  <c r="R126" i="1"/>
  <c r="Q126" i="1"/>
  <c r="P126" i="1"/>
  <c r="AC125" i="1"/>
  <c r="W125" i="1" a="1"/>
  <c r="W125" i="1" s="1"/>
  <c r="V125" i="1" a="1"/>
  <c r="V125" i="1" s="1"/>
  <c r="U125" i="1" a="1"/>
  <c r="U125" i="1" s="1"/>
  <c r="T125" i="1" a="1"/>
  <c r="T125" i="1" s="1"/>
  <c r="R125" i="1"/>
  <c r="Q125" i="1"/>
  <c r="P125" i="1"/>
  <c r="AC124" i="1"/>
  <c r="W124" i="1" a="1"/>
  <c r="W124" i="1" s="1"/>
  <c r="V124" i="1" a="1"/>
  <c r="V124" i="1" s="1"/>
  <c r="U124" i="1" a="1"/>
  <c r="U124" i="1" s="1"/>
  <c r="T124" i="1" a="1"/>
  <c r="T124" i="1" s="1"/>
  <c r="R124" i="1"/>
  <c r="Q124" i="1"/>
  <c r="P124" i="1"/>
  <c r="AC123" i="1"/>
  <c r="W123" i="1" a="1"/>
  <c r="W123" i="1" s="1"/>
  <c r="V123" i="1" a="1"/>
  <c r="V123" i="1" s="1"/>
  <c r="U123" i="1" a="1"/>
  <c r="U123" i="1" s="1"/>
  <c r="T123" i="1" a="1"/>
  <c r="T123" i="1" s="1"/>
  <c r="R123" i="1"/>
  <c r="Q123" i="1"/>
  <c r="P123" i="1"/>
  <c r="AC122" i="1"/>
  <c r="W122" i="1" a="1"/>
  <c r="W122" i="1" s="1"/>
  <c r="V122" i="1" a="1"/>
  <c r="V122" i="1" s="1"/>
  <c r="U122" i="1" a="1"/>
  <c r="U122" i="1" s="1"/>
  <c r="T122" i="1" a="1"/>
  <c r="T122" i="1" s="1"/>
  <c r="R122" i="1"/>
  <c r="Q122" i="1"/>
  <c r="P122" i="1"/>
  <c r="AC121" i="1"/>
  <c r="W121" i="1" a="1"/>
  <c r="W121" i="1" s="1"/>
  <c r="V121" i="1" a="1"/>
  <c r="V121" i="1" s="1"/>
  <c r="U121" i="1" a="1"/>
  <c r="U121" i="1" s="1"/>
  <c r="T121" i="1" a="1"/>
  <c r="T121" i="1" s="1"/>
  <c r="R121" i="1"/>
  <c r="Q121" i="1"/>
  <c r="P121" i="1"/>
  <c r="AC120" i="1"/>
  <c r="W120" i="1" a="1"/>
  <c r="W120" i="1" s="1"/>
  <c r="V120" i="1" a="1"/>
  <c r="V120" i="1" s="1"/>
  <c r="U120" i="1" a="1"/>
  <c r="U120" i="1" s="1"/>
  <c r="T120" i="1" a="1"/>
  <c r="T120" i="1" s="1"/>
  <c r="R120" i="1"/>
  <c r="Q120" i="1"/>
  <c r="P120" i="1"/>
  <c r="AC119" i="1"/>
  <c r="W119" i="1" a="1"/>
  <c r="W119" i="1" s="1"/>
  <c r="V119" i="1" a="1"/>
  <c r="V119" i="1" s="1"/>
  <c r="U119" i="1" a="1"/>
  <c r="U119" i="1" s="1"/>
  <c r="T119" i="1" a="1"/>
  <c r="T119" i="1" s="1"/>
  <c r="R119" i="1"/>
  <c r="Q119" i="1"/>
  <c r="P119" i="1"/>
  <c r="AC118" i="1"/>
  <c r="W118" i="1" a="1"/>
  <c r="W118" i="1" s="1"/>
  <c r="V118" i="1" a="1"/>
  <c r="V118" i="1" s="1"/>
  <c r="U118" i="1" a="1"/>
  <c r="U118" i="1" s="1"/>
  <c r="T118" i="1" a="1"/>
  <c r="T118" i="1" s="1"/>
  <c r="R118" i="1"/>
  <c r="Q118" i="1"/>
  <c r="P118" i="1"/>
  <c r="AC117" i="1"/>
  <c r="W117" i="1" a="1"/>
  <c r="W117" i="1" s="1"/>
  <c r="V117" i="1" a="1"/>
  <c r="V117" i="1" s="1"/>
  <c r="U117" i="1" a="1"/>
  <c r="U117" i="1" s="1"/>
  <c r="T117" i="1" a="1"/>
  <c r="T117" i="1" s="1"/>
  <c r="R117" i="1"/>
  <c r="Q117" i="1"/>
  <c r="P117" i="1"/>
  <c r="AC116" i="1"/>
  <c r="W116" i="1" a="1"/>
  <c r="W116" i="1" s="1"/>
  <c r="V116" i="1" a="1"/>
  <c r="V116" i="1" s="1"/>
  <c r="U116" i="1" a="1"/>
  <c r="U116" i="1" s="1"/>
  <c r="T116" i="1" a="1"/>
  <c r="T116" i="1" s="1"/>
  <c r="R116" i="1"/>
  <c r="Q116" i="1"/>
  <c r="P116" i="1"/>
  <c r="AC115" i="1"/>
  <c r="W115" i="1" a="1"/>
  <c r="W115" i="1" s="1"/>
  <c r="V115" i="1" a="1"/>
  <c r="V115" i="1" s="1"/>
  <c r="U115" i="1" a="1"/>
  <c r="U115" i="1" s="1"/>
  <c r="T115" i="1" a="1"/>
  <c r="T115" i="1" s="1"/>
  <c r="R115" i="1"/>
  <c r="Q115" i="1"/>
  <c r="P115" i="1"/>
  <c r="AC114" i="1"/>
  <c r="W114" i="1" a="1"/>
  <c r="W114" i="1" s="1"/>
  <c r="V114" i="1" a="1"/>
  <c r="V114" i="1" s="1"/>
  <c r="U114" i="1" a="1"/>
  <c r="U114" i="1" s="1"/>
  <c r="T114" i="1" a="1"/>
  <c r="T114" i="1" s="1"/>
  <c r="R114" i="1"/>
  <c r="Q114" i="1"/>
  <c r="P114" i="1"/>
  <c r="AC113" i="1"/>
  <c r="W113" i="1" a="1"/>
  <c r="W113" i="1" s="1"/>
  <c r="V113" i="1" a="1"/>
  <c r="V113" i="1" s="1"/>
  <c r="U113" i="1" a="1"/>
  <c r="U113" i="1" s="1"/>
  <c r="T113" i="1" a="1"/>
  <c r="T113" i="1" s="1"/>
  <c r="R113" i="1"/>
  <c r="Q113" i="1"/>
  <c r="P113" i="1"/>
  <c r="AC112" i="1"/>
  <c r="W112" i="1" a="1"/>
  <c r="W112" i="1" s="1"/>
  <c r="V112" i="1" a="1"/>
  <c r="V112" i="1" s="1"/>
  <c r="U112" i="1" a="1"/>
  <c r="U112" i="1" s="1"/>
  <c r="T112" i="1" a="1"/>
  <c r="T112" i="1" s="1"/>
  <c r="R112" i="1"/>
  <c r="Q112" i="1"/>
  <c r="P112" i="1"/>
  <c r="AC111" i="1"/>
  <c r="W111" i="1" a="1"/>
  <c r="W111" i="1" s="1"/>
  <c r="V111" i="1" a="1"/>
  <c r="V111" i="1" s="1"/>
  <c r="U111" i="1" a="1"/>
  <c r="U111" i="1" s="1"/>
  <c r="T111" i="1" a="1"/>
  <c r="T111" i="1" s="1"/>
  <c r="R111" i="1"/>
  <c r="Q111" i="1"/>
  <c r="P111" i="1"/>
  <c r="AC110" i="1"/>
  <c r="W110" i="1" a="1"/>
  <c r="W110" i="1" s="1"/>
  <c r="V110" i="1" a="1"/>
  <c r="V110" i="1" s="1"/>
  <c r="U110" i="1" a="1"/>
  <c r="U110" i="1" s="1"/>
  <c r="T110" i="1" a="1"/>
  <c r="T110" i="1" s="1"/>
  <c r="R110" i="1"/>
  <c r="Q110" i="1"/>
  <c r="P110" i="1"/>
  <c r="AC109" i="1"/>
  <c r="W109" i="1" a="1"/>
  <c r="W109" i="1" s="1"/>
  <c r="V109" i="1" a="1"/>
  <c r="V109" i="1" s="1"/>
  <c r="U109" i="1" a="1"/>
  <c r="U109" i="1" s="1"/>
  <c r="T109" i="1" a="1"/>
  <c r="T109" i="1" s="1"/>
  <c r="R109" i="1"/>
  <c r="Q109" i="1"/>
  <c r="P109" i="1"/>
  <c r="AC108" i="1"/>
  <c r="W108" i="1" a="1"/>
  <c r="W108" i="1" s="1"/>
  <c r="V108" i="1" a="1"/>
  <c r="V108" i="1" s="1"/>
  <c r="U108" i="1" a="1"/>
  <c r="U108" i="1" s="1"/>
  <c r="T108" i="1" a="1"/>
  <c r="T108" i="1" s="1"/>
  <c r="R108" i="1"/>
  <c r="Q108" i="1"/>
  <c r="P108" i="1"/>
  <c r="AC107" i="1"/>
  <c r="W107" i="1" a="1"/>
  <c r="W107" i="1" s="1"/>
  <c r="V107" i="1" a="1"/>
  <c r="V107" i="1" s="1"/>
  <c r="U107" i="1" a="1"/>
  <c r="U107" i="1" s="1"/>
  <c r="T107" i="1" a="1"/>
  <c r="T107" i="1" s="1"/>
  <c r="R107" i="1"/>
  <c r="Q107" i="1"/>
  <c r="P107" i="1"/>
  <c r="AC106" i="1"/>
  <c r="W106" i="1" a="1"/>
  <c r="W106" i="1" s="1"/>
  <c r="V106" i="1" a="1"/>
  <c r="V106" i="1" s="1"/>
  <c r="U106" i="1" a="1"/>
  <c r="U106" i="1" s="1"/>
  <c r="T106" i="1" a="1"/>
  <c r="T106" i="1" s="1"/>
  <c r="R106" i="1"/>
  <c r="Q106" i="1"/>
  <c r="P106" i="1"/>
  <c r="AC105" i="1"/>
  <c r="W105" i="1" a="1"/>
  <c r="W105" i="1" s="1"/>
  <c r="V105" i="1" a="1"/>
  <c r="V105" i="1" s="1"/>
  <c r="U105" i="1" a="1"/>
  <c r="U105" i="1" s="1"/>
  <c r="T105" i="1" a="1"/>
  <c r="T105" i="1" s="1"/>
  <c r="R105" i="1"/>
  <c r="Q105" i="1"/>
  <c r="P105" i="1"/>
  <c r="AC104" i="1"/>
  <c r="W104" i="1" a="1"/>
  <c r="W104" i="1" s="1"/>
  <c r="V104" i="1" a="1"/>
  <c r="V104" i="1" s="1"/>
  <c r="U104" i="1" a="1"/>
  <c r="U104" i="1" s="1"/>
  <c r="T104" i="1" a="1"/>
  <c r="T104" i="1" s="1"/>
  <c r="R104" i="1"/>
  <c r="Q104" i="1"/>
  <c r="P104" i="1"/>
  <c r="AC103" i="1"/>
  <c r="W103" i="1" a="1"/>
  <c r="W103" i="1" s="1"/>
  <c r="V103" i="1" a="1"/>
  <c r="V103" i="1" s="1"/>
  <c r="U103" i="1" a="1"/>
  <c r="U103" i="1" s="1"/>
  <c r="T103" i="1" a="1"/>
  <c r="T103" i="1" s="1"/>
  <c r="R103" i="1"/>
  <c r="Q103" i="1"/>
  <c r="P103" i="1"/>
  <c r="AC102" i="1"/>
  <c r="W102" i="1" a="1"/>
  <c r="W102" i="1" s="1"/>
  <c r="V102" i="1" a="1"/>
  <c r="V102" i="1" s="1"/>
  <c r="U102" i="1" a="1"/>
  <c r="U102" i="1" s="1"/>
  <c r="T102" i="1" a="1"/>
  <c r="T102" i="1" s="1"/>
  <c r="R102" i="1"/>
  <c r="Q102" i="1"/>
  <c r="P102" i="1"/>
  <c r="AC101" i="1"/>
  <c r="W101" i="1" a="1"/>
  <c r="W101" i="1" s="1"/>
  <c r="V101" i="1" a="1"/>
  <c r="V101" i="1" s="1"/>
  <c r="U101" i="1" a="1"/>
  <c r="U101" i="1" s="1"/>
  <c r="T101" i="1" a="1"/>
  <c r="T101" i="1" s="1"/>
  <c r="R101" i="1"/>
  <c r="Q101" i="1"/>
  <c r="P101" i="1"/>
  <c r="AC100" i="1"/>
  <c r="W100" i="1" a="1"/>
  <c r="W100" i="1" s="1"/>
  <c r="V100" i="1" a="1"/>
  <c r="V100" i="1" s="1"/>
  <c r="U100" i="1" a="1"/>
  <c r="U100" i="1" s="1"/>
  <c r="T100" i="1" a="1"/>
  <c r="T100" i="1" s="1"/>
  <c r="R100" i="1"/>
  <c r="Q100" i="1"/>
  <c r="P100" i="1"/>
  <c r="AC99" i="1"/>
  <c r="W99" i="1" a="1"/>
  <c r="W99" i="1" s="1"/>
  <c r="V99" i="1" a="1"/>
  <c r="V99" i="1" s="1"/>
  <c r="U99" i="1" a="1"/>
  <c r="U99" i="1" s="1"/>
  <c r="T99" i="1" a="1"/>
  <c r="T99" i="1" s="1"/>
  <c r="R99" i="1"/>
  <c r="Q99" i="1"/>
  <c r="P99" i="1"/>
  <c r="AC98" i="1"/>
  <c r="W98" i="1" a="1"/>
  <c r="W98" i="1" s="1"/>
  <c r="V98" i="1" a="1"/>
  <c r="V98" i="1" s="1"/>
  <c r="U98" i="1" a="1"/>
  <c r="U98" i="1" s="1"/>
  <c r="T98" i="1" a="1"/>
  <c r="T98" i="1" s="1"/>
  <c r="R98" i="1"/>
  <c r="Q98" i="1"/>
  <c r="P98" i="1"/>
  <c r="AC97" i="1"/>
  <c r="W97" i="1" a="1"/>
  <c r="W97" i="1" s="1"/>
  <c r="V97" i="1" a="1"/>
  <c r="V97" i="1" s="1"/>
  <c r="U97" i="1" a="1"/>
  <c r="U97" i="1" s="1"/>
  <c r="T97" i="1" a="1"/>
  <c r="T97" i="1" s="1"/>
  <c r="R97" i="1"/>
  <c r="Q97" i="1"/>
  <c r="P97" i="1"/>
  <c r="AC96" i="1"/>
  <c r="W96" i="1" a="1"/>
  <c r="W96" i="1" s="1"/>
  <c r="V96" i="1" a="1"/>
  <c r="V96" i="1" s="1"/>
  <c r="U96" i="1" a="1"/>
  <c r="U96" i="1" s="1"/>
  <c r="T96" i="1" a="1"/>
  <c r="T96" i="1" s="1"/>
  <c r="R96" i="1"/>
  <c r="Q96" i="1"/>
  <c r="P96" i="1"/>
  <c r="AC95" i="1"/>
  <c r="W95" i="1" a="1"/>
  <c r="W95" i="1" s="1"/>
  <c r="V95" i="1" a="1"/>
  <c r="V95" i="1" s="1"/>
  <c r="U95" i="1" a="1"/>
  <c r="U95" i="1" s="1"/>
  <c r="T95" i="1" a="1"/>
  <c r="T95" i="1" s="1"/>
  <c r="R95" i="1"/>
  <c r="Q95" i="1"/>
  <c r="P95" i="1"/>
  <c r="AC94" i="1"/>
  <c r="W94" i="1" a="1"/>
  <c r="W94" i="1" s="1"/>
  <c r="V94" i="1" a="1"/>
  <c r="V94" i="1" s="1"/>
  <c r="U94" i="1" a="1"/>
  <c r="U94" i="1" s="1"/>
  <c r="T94" i="1" a="1"/>
  <c r="T94" i="1" s="1"/>
  <c r="R94" i="1"/>
  <c r="Q94" i="1"/>
  <c r="P94" i="1"/>
  <c r="AC93" i="1"/>
  <c r="W93" i="1" a="1"/>
  <c r="W93" i="1" s="1"/>
  <c r="V93" i="1" a="1"/>
  <c r="V93" i="1" s="1"/>
  <c r="U93" i="1" a="1"/>
  <c r="U93" i="1" s="1"/>
  <c r="T93" i="1" a="1"/>
  <c r="T93" i="1" s="1"/>
  <c r="R93" i="1"/>
  <c r="Q93" i="1"/>
  <c r="P93" i="1"/>
  <c r="AC92" i="1"/>
  <c r="W92" i="1" a="1"/>
  <c r="W92" i="1" s="1"/>
  <c r="V92" i="1" a="1"/>
  <c r="V92" i="1" s="1"/>
  <c r="U92" i="1" a="1"/>
  <c r="U92" i="1" s="1"/>
  <c r="T92" i="1" a="1"/>
  <c r="T92" i="1" s="1"/>
  <c r="R92" i="1"/>
  <c r="Q92" i="1"/>
  <c r="P92" i="1"/>
  <c r="AC91" i="1"/>
  <c r="W91" i="1" a="1"/>
  <c r="W91" i="1" s="1"/>
  <c r="V91" i="1" a="1"/>
  <c r="V91" i="1" s="1"/>
  <c r="U91" i="1" a="1"/>
  <c r="U91" i="1" s="1"/>
  <c r="T91" i="1" a="1"/>
  <c r="T91" i="1" s="1"/>
  <c r="R91" i="1"/>
  <c r="Q91" i="1"/>
  <c r="P91" i="1"/>
  <c r="AC90" i="1"/>
  <c r="W90" i="1" a="1"/>
  <c r="W90" i="1" s="1"/>
  <c r="V90" i="1" a="1"/>
  <c r="V90" i="1" s="1"/>
  <c r="U90" i="1" a="1"/>
  <c r="U90" i="1" s="1"/>
  <c r="T90" i="1" a="1"/>
  <c r="T90" i="1" s="1"/>
  <c r="R90" i="1"/>
  <c r="Q90" i="1"/>
  <c r="P90" i="1"/>
  <c r="AC89" i="1"/>
  <c r="W89" i="1" a="1"/>
  <c r="W89" i="1" s="1"/>
  <c r="V89" i="1" a="1"/>
  <c r="V89" i="1" s="1"/>
  <c r="U89" i="1" a="1"/>
  <c r="U89" i="1" s="1"/>
  <c r="T89" i="1" a="1"/>
  <c r="T89" i="1" s="1"/>
  <c r="R89" i="1"/>
  <c r="Q89" i="1"/>
  <c r="P89" i="1"/>
  <c r="AC88" i="1"/>
  <c r="W88" i="1" a="1"/>
  <c r="W88" i="1" s="1"/>
  <c r="V88" i="1" a="1"/>
  <c r="V88" i="1" s="1"/>
  <c r="U88" i="1" a="1"/>
  <c r="U88" i="1" s="1"/>
  <c r="T88" i="1" a="1"/>
  <c r="T88" i="1" s="1"/>
  <c r="R88" i="1"/>
  <c r="Q88" i="1"/>
  <c r="P88" i="1"/>
  <c r="AC87" i="1"/>
  <c r="W87" i="1" a="1"/>
  <c r="W87" i="1" s="1"/>
  <c r="V87" i="1" a="1"/>
  <c r="V87" i="1" s="1"/>
  <c r="U87" i="1" a="1"/>
  <c r="U87" i="1" s="1"/>
  <c r="T87" i="1" a="1"/>
  <c r="T87" i="1" s="1"/>
  <c r="R87" i="1"/>
  <c r="Q87" i="1"/>
  <c r="P87" i="1"/>
  <c r="AC86" i="1"/>
  <c r="W86" i="1" a="1"/>
  <c r="W86" i="1" s="1"/>
  <c r="V86" i="1" a="1"/>
  <c r="V86" i="1" s="1"/>
  <c r="U86" i="1" a="1"/>
  <c r="U86" i="1" s="1"/>
  <c r="T86" i="1" a="1"/>
  <c r="T86" i="1" s="1"/>
  <c r="R86" i="1"/>
  <c r="Q86" i="1"/>
  <c r="P86" i="1"/>
  <c r="AC85" i="1"/>
  <c r="W85" i="1" a="1"/>
  <c r="W85" i="1" s="1"/>
  <c r="V85" i="1" a="1"/>
  <c r="V85" i="1" s="1"/>
  <c r="U85" i="1" a="1"/>
  <c r="U85" i="1" s="1"/>
  <c r="T85" i="1" a="1"/>
  <c r="T85" i="1" s="1"/>
  <c r="R85" i="1"/>
  <c r="Q85" i="1"/>
  <c r="P85" i="1"/>
  <c r="AC84" i="1"/>
  <c r="W84" i="1" a="1"/>
  <c r="W84" i="1" s="1"/>
  <c r="V84" i="1" a="1"/>
  <c r="V84" i="1" s="1"/>
  <c r="U84" i="1" a="1"/>
  <c r="U84" i="1" s="1"/>
  <c r="T84" i="1" a="1"/>
  <c r="T84" i="1" s="1"/>
  <c r="R84" i="1"/>
  <c r="Q84" i="1"/>
  <c r="P84" i="1"/>
  <c r="AC83" i="1"/>
  <c r="W83" i="1" a="1"/>
  <c r="W83" i="1" s="1"/>
  <c r="V83" i="1" a="1"/>
  <c r="V83" i="1" s="1"/>
  <c r="U83" i="1" a="1"/>
  <c r="U83" i="1" s="1"/>
  <c r="T83" i="1" a="1"/>
  <c r="T83" i="1" s="1"/>
  <c r="R83" i="1"/>
  <c r="Q83" i="1"/>
  <c r="P83" i="1"/>
  <c r="AC82" i="1"/>
  <c r="W82" i="1" a="1"/>
  <c r="W82" i="1" s="1"/>
  <c r="V82" i="1" a="1"/>
  <c r="V82" i="1" s="1"/>
  <c r="U82" i="1" a="1"/>
  <c r="U82" i="1" s="1"/>
  <c r="T82" i="1" a="1"/>
  <c r="T82" i="1" s="1"/>
  <c r="R82" i="1"/>
  <c r="Q82" i="1"/>
  <c r="P82" i="1"/>
  <c r="AC81" i="1"/>
  <c r="W81" i="1" a="1"/>
  <c r="W81" i="1" s="1"/>
  <c r="V81" i="1" a="1"/>
  <c r="V81" i="1" s="1"/>
  <c r="U81" i="1" a="1"/>
  <c r="U81" i="1" s="1"/>
  <c r="T81" i="1" a="1"/>
  <c r="T81" i="1" s="1"/>
  <c r="R81" i="1"/>
  <c r="Q81" i="1"/>
  <c r="P81" i="1"/>
  <c r="AC80" i="1"/>
  <c r="W80" i="1" a="1"/>
  <c r="W80" i="1" s="1"/>
  <c r="V80" i="1" a="1"/>
  <c r="V80" i="1" s="1"/>
  <c r="U80" i="1" a="1"/>
  <c r="U80" i="1" s="1"/>
  <c r="T80" i="1" a="1"/>
  <c r="T80" i="1" s="1"/>
  <c r="R80" i="1"/>
  <c r="Q80" i="1"/>
  <c r="P80" i="1"/>
  <c r="AC79" i="1"/>
  <c r="W79" i="1" a="1"/>
  <c r="W79" i="1" s="1"/>
  <c r="V79" i="1" a="1"/>
  <c r="V79" i="1" s="1"/>
  <c r="U79" i="1" a="1"/>
  <c r="U79" i="1" s="1"/>
  <c r="T79" i="1" a="1"/>
  <c r="T79" i="1" s="1"/>
  <c r="R79" i="1"/>
  <c r="Q79" i="1"/>
  <c r="P79" i="1"/>
  <c r="AC78" i="1"/>
  <c r="W78" i="1" a="1"/>
  <c r="W78" i="1" s="1"/>
  <c r="V78" i="1" a="1"/>
  <c r="V78" i="1" s="1"/>
  <c r="U78" i="1" a="1"/>
  <c r="U78" i="1" s="1"/>
  <c r="T78" i="1" a="1"/>
  <c r="T78" i="1" s="1"/>
  <c r="R78" i="1"/>
  <c r="Q78" i="1"/>
  <c r="P78" i="1"/>
  <c r="AC77" i="1"/>
  <c r="W77" i="1" a="1"/>
  <c r="W77" i="1" s="1"/>
  <c r="V77" i="1" a="1"/>
  <c r="V77" i="1" s="1"/>
  <c r="U77" i="1" a="1"/>
  <c r="U77" i="1" s="1"/>
  <c r="T77" i="1" a="1"/>
  <c r="T77" i="1" s="1"/>
  <c r="R77" i="1"/>
  <c r="Q77" i="1"/>
  <c r="P77" i="1"/>
  <c r="AC76" i="1"/>
  <c r="W76" i="1" a="1"/>
  <c r="W76" i="1" s="1"/>
  <c r="V76" i="1" a="1"/>
  <c r="V76" i="1" s="1"/>
  <c r="U76" i="1" a="1"/>
  <c r="U76" i="1" s="1"/>
  <c r="T76" i="1" a="1"/>
  <c r="T76" i="1" s="1"/>
  <c r="R76" i="1"/>
  <c r="Q76" i="1"/>
  <c r="P76" i="1"/>
  <c r="AC75" i="1"/>
  <c r="W75" i="1" a="1"/>
  <c r="W75" i="1" s="1"/>
  <c r="V75" i="1" a="1"/>
  <c r="V75" i="1" s="1"/>
  <c r="U75" i="1" a="1"/>
  <c r="U75" i="1" s="1"/>
  <c r="T75" i="1" a="1"/>
  <c r="T75" i="1" s="1"/>
  <c r="R75" i="1"/>
  <c r="Q75" i="1"/>
  <c r="P75" i="1"/>
  <c r="AC74" i="1"/>
  <c r="W74" i="1" a="1"/>
  <c r="W74" i="1" s="1"/>
  <c r="V74" i="1" a="1"/>
  <c r="V74" i="1" s="1"/>
  <c r="U74" i="1" a="1"/>
  <c r="U74" i="1" s="1"/>
  <c r="T74" i="1" a="1"/>
  <c r="T74" i="1" s="1"/>
  <c r="R74" i="1"/>
  <c r="Q74" i="1"/>
  <c r="P74" i="1"/>
  <c r="AC73" i="1"/>
  <c r="W73" i="1" a="1"/>
  <c r="W73" i="1" s="1"/>
  <c r="V73" i="1" a="1"/>
  <c r="V73" i="1" s="1"/>
  <c r="U73" i="1" a="1"/>
  <c r="U73" i="1" s="1"/>
  <c r="T73" i="1" a="1"/>
  <c r="T73" i="1" s="1"/>
  <c r="R73" i="1"/>
  <c r="Q73" i="1"/>
  <c r="P73" i="1"/>
  <c r="AC72" i="1"/>
  <c r="W72" i="1" a="1"/>
  <c r="W72" i="1" s="1"/>
  <c r="V72" i="1" a="1"/>
  <c r="V72" i="1" s="1"/>
  <c r="U72" i="1" a="1"/>
  <c r="U72" i="1" s="1"/>
  <c r="T72" i="1" a="1"/>
  <c r="T72" i="1" s="1"/>
  <c r="R72" i="1"/>
  <c r="Q72" i="1"/>
  <c r="P72" i="1"/>
  <c r="AC71" i="1"/>
  <c r="W71" i="1" a="1"/>
  <c r="W71" i="1" s="1"/>
  <c r="V71" i="1" a="1"/>
  <c r="V71" i="1" s="1"/>
  <c r="U71" i="1" a="1"/>
  <c r="U71" i="1" s="1"/>
  <c r="T71" i="1" a="1"/>
  <c r="T71" i="1" s="1"/>
  <c r="R71" i="1"/>
  <c r="Q71" i="1"/>
  <c r="P71" i="1"/>
  <c r="AC70" i="1"/>
  <c r="W70" i="1" a="1"/>
  <c r="W70" i="1" s="1"/>
  <c r="V70" i="1" a="1"/>
  <c r="V70" i="1" s="1"/>
  <c r="U70" i="1" a="1"/>
  <c r="U70" i="1" s="1"/>
  <c r="T70" i="1" a="1"/>
  <c r="T70" i="1" s="1"/>
  <c r="R70" i="1"/>
  <c r="Q70" i="1"/>
  <c r="P70" i="1"/>
  <c r="AC69" i="1"/>
  <c r="W69" i="1" a="1"/>
  <c r="W69" i="1" s="1"/>
  <c r="V69" i="1" a="1"/>
  <c r="V69" i="1" s="1"/>
  <c r="U69" i="1" a="1"/>
  <c r="U69" i="1" s="1"/>
  <c r="T69" i="1" a="1"/>
  <c r="T69" i="1" s="1"/>
  <c r="R69" i="1"/>
  <c r="Q69" i="1"/>
  <c r="P69" i="1"/>
  <c r="AC68" i="1"/>
  <c r="W68" i="1" a="1"/>
  <c r="W68" i="1" s="1"/>
  <c r="V68" i="1" a="1"/>
  <c r="V68" i="1" s="1"/>
  <c r="U68" i="1" a="1"/>
  <c r="U68" i="1" s="1"/>
  <c r="T68" i="1" a="1"/>
  <c r="T68" i="1" s="1"/>
  <c r="R68" i="1"/>
  <c r="Q68" i="1"/>
  <c r="P68" i="1"/>
  <c r="AC67" i="1"/>
  <c r="W67" i="1" a="1"/>
  <c r="W67" i="1" s="1"/>
  <c r="V67" i="1" a="1"/>
  <c r="V67" i="1" s="1"/>
  <c r="U67" i="1" a="1"/>
  <c r="U67" i="1" s="1"/>
  <c r="T67" i="1" a="1"/>
  <c r="T67" i="1" s="1"/>
  <c r="R67" i="1"/>
  <c r="Q67" i="1"/>
  <c r="P67" i="1"/>
  <c r="AC66" i="1"/>
  <c r="W66" i="1" a="1"/>
  <c r="W66" i="1" s="1"/>
  <c r="V66" i="1" a="1"/>
  <c r="V66" i="1" s="1"/>
  <c r="U66" i="1" a="1"/>
  <c r="U66" i="1" s="1"/>
  <c r="T66" i="1" a="1"/>
  <c r="T66" i="1" s="1"/>
  <c r="R66" i="1"/>
  <c r="Q66" i="1"/>
  <c r="P66" i="1"/>
  <c r="AC65" i="1"/>
  <c r="W65" i="1" a="1"/>
  <c r="W65" i="1" s="1"/>
  <c r="V65" i="1" a="1"/>
  <c r="V65" i="1" s="1"/>
  <c r="U65" i="1" a="1"/>
  <c r="U65" i="1" s="1"/>
  <c r="T65" i="1" a="1"/>
  <c r="T65" i="1" s="1"/>
  <c r="R65" i="1"/>
  <c r="Q65" i="1"/>
  <c r="P65" i="1"/>
  <c r="AC64" i="1"/>
  <c r="W64" i="1" a="1"/>
  <c r="W64" i="1" s="1"/>
  <c r="V64" i="1" a="1"/>
  <c r="V64" i="1" s="1"/>
  <c r="U64" i="1" a="1"/>
  <c r="U64" i="1" s="1"/>
  <c r="T64" i="1" a="1"/>
  <c r="T64" i="1" s="1"/>
  <c r="R64" i="1"/>
  <c r="Q64" i="1"/>
  <c r="P64" i="1"/>
  <c r="AC63" i="1"/>
  <c r="W63" i="1" a="1"/>
  <c r="W63" i="1" s="1"/>
  <c r="V63" i="1" a="1"/>
  <c r="V63" i="1" s="1"/>
  <c r="U63" i="1" a="1"/>
  <c r="U63" i="1" s="1"/>
  <c r="T63" i="1" a="1"/>
  <c r="T63" i="1" s="1"/>
  <c r="R63" i="1"/>
  <c r="Q63" i="1"/>
  <c r="P63" i="1"/>
  <c r="AC62" i="1"/>
  <c r="W62" i="1" a="1"/>
  <c r="W62" i="1" s="1"/>
  <c r="V62" i="1" a="1"/>
  <c r="V62" i="1" s="1"/>
  <c r="U62" i="1" a="1"/>
  <c r="U62" i="1" s="1"/>
  <c r="T62" i="1" a="1"/>
  <c r="T62" i="1" s="1"/>
  <c r="R62" i="1"/>
  <c r="Q62" i="1"/>
  <c r="P62" i="1"/>
  <c r="AC61" i="1"/>
  <c r="W61" i="1" a="1"/>
  <c r="W61" i="1" s="1"/>
  <c r="V61" i="1" a="1"/>
  <c r="V61" i="1" s="1"/>
  <c r="U61" i="1" a="1"/>
  <c r="U61" i="1" s="1"/>
  <c r="T61" i="1" a="1"/>
  <c r="T61" i="1" s="1"/>
  <c r="R61" i="1"/>
  <c r="Q61" i="1"/>
  <c r="P61" i="1"/>
  <c r="AC60" i="1"/>
  <c r="W60" i="1" a="1"/>
  <c r="W60" i="1" s="1"/>
  <c r="V60" i="1" a="1"/>
  <c r="V60" i="1" s="1"/>
  <c r="U60" i="1" a="1"/>
  <c r="U60" i="1" s="1"/>
  <c r="T60" i="1" a="1"/>
  <c r="T60" i="1" s="1"/>
  <c r="R60" i="1"/>
  <c r="Q60" i="1"/>
  <c r="P60" i="1"/>
  <c r="AC59" i="1"/>
  <c r="W59" i="1" a="1"/>
  <c r="W59" i="1" s="1"/>
  <c r="V59" i="1" a="1"/>
  <c r="V59" i="1" s="1"/>
  <c r="U59" i="1" a="1"/>
  <c r="U59" i="1" s="1"/>
  <c r="T59" i="1" a="1"/>
  <c r="T59" i="1" s="1"/>
  <c r="R59" i="1"/>
  <c r="Q59" i="1"/>
  <c r="P59" i="1"/>
  <c r="AC58" i="1"/>
  <c r="W58" i="1" a="1"/>
  <c r="W58" i="1" s="1"/>
  <c r="V58" i="1" a="1"/>
  <c r="V58" i="1" s="1"/>
  <c r="U58" i="1" a="1"/>
  <c r="U58" i="1" s="1"/>
  <c r="T58" i="1" a="1"/>
  <c r="T58" i="1" s="1"/>
  <c r="R58" i="1"/>
  <c r="Q58" i="1"/>
  <c r="P58" i="1"/>
  <c r="AC57" i="1"/>
  <c r="W57" i="1" a="1"/>
  <c r="W57" i="1" s="1"/>
  <c r="V57" i="1" a="1"/>
  <c r="V57" i="1" s="1"/>
  <c r="U57" i="1" a="1"/>
  <c r="U57" i="1" s="1"/>
  <c r="T57" i="1" a="1"/>
  <c r="T57" i="1" s="1"/>
  <c r="R57" i="1"/>
  <c r="Q57" i="1"/>
  <c r="P57" i="1"/>
  <c r="AC56" i="1"/>
  <c r="W56" i="1" a="1"/>
  <c r="W56" i="1" s="1"/>
  <c r="V56" i="1" a="1"/>
  <c r="V56" i="1" s="1"/>
  <c r="U56" i="1" a="1"/>
  <c r="U56" i="1" s="1"/>
  <c r="T56" i="1" a="1"/>
  <c r="T56" i="1" s="1"/>
  <c r="R56" i="1"/>
  <c r="Q56" i="1"/>
  <c r="P56" i="1"/>
  <c r="AC55" i="1"/>
  <c r="W55" i="1" a="1"/>
  <c r="W55" i="1" s="1"/>
  <c r="V55" i="1" a="1"/>
  <c r="V55" i="1" s="1"/>
  <c r="U55" i="1" a="1"/>
  <c r="U55" i="1" s="1"/>
  <c r="T55" i="1" a="1"/>
  <c r="T55" i="1" s="1"/>
  <c r="R55" i="1"/>
  <c r="Q55" i="1"/>
  <c r="P55" i="1"/>
  <c r="AC54" i="1"/>
  <c r="W54" i="1" a="1"/>
  <c r="W54" i="1" s="1"/>
  <c r="V54" i="1" a="1"/>
  <c r="V54" i="1" s="1"/>
  <c r="U54" i="1" a="1"/>
  <c r="U54" i="1" s="1"/>
  <c r="T54" i="1" a="1"/>
  <c r="T54" i="1" s="1"/>
  <c r="R54" i="1"/>
  <c r="Q54" i="1"/>
  <c r="P54" i="1"/>
  <c r="AC53" i="1"/>
  <c r="W53" i="1" a="1"/>
  <c r="W53" i="1" s="1"/>
  <c r="V53" i="1" a="1"/>
  <c r="V53" i="1" s="1"/>
  <c r="U53" i="1" a="1"/>
  <c r="U53" i="1" s="1"/>
  <c r="T53" i="1" a="1"/>
  <c r="T53" i="1" s="1"/>
  <c r="R53" i="1"/>
  <c r="Q53" i="1"/>
  <c r="P53" i="1"/>
  <c r="AC52" i="1"/>
  <c r="W52" i="1" a="1"/>
  <c r="W52" i="1" s="1"/>
  <c r="V52" i="1" a="1"/>
  <c r="V52" i="1" s="1"/>
  <c r="U52" i="1" a="1"/>
  <c r="U52" i="1" s="1"/>
  <c r="T52" i="1" a="1"/>
  <c r="T52" i="1" s="1"/>
  <c r="R52" i="1"/>
  <c r="Q52" i="1"/>
  <c r="P52" i="1"/>
  <c r="AC51" i="1"/>
  <c r="W51" i="1" a="1"/>
  <c r="W51" i="1" s="1"/>
  <c r="V51" i="1" a="1"/>
  <c r="V51" i="1" s="1"/>
  <c r="U51" i="1" a="1"/>
  <c r="U51" i="1" s="1"/>
  <c r="T51" i="1" a="1"/>
  <c r="T51" i="1" s="1"/>
  <c r="R51" i="1"/>
  <c r="Q51" i="1"/>
  <c r="P51" i="1"/>
  <c r="AC50" i="1"/>
  <c r="W50" i="1" a="1"/>
  <c r="W50" i="1" s="1"/>
  <c r="V50" i="1" a="1"/>
  <c r="V50" i="1" s="1"/>
  <c r="U50" i="1" a="1"/>
  <c r="U50" i="1" s="1"/>
  <c r="T50" i="1" a="1"/>
  <c r="T50" i="1" s="1"/>
  <c r="R50" i="1"/>
  <c r="Q50" i="1"/>
  <c r="P50" i="1"/>
  <c r="AC49" i="1"/>
  <c r="W49" i="1" a="1"/>
  <c r="W49" i="1" s="1"/>
  <c r="V49" i="1" a="1"/>
  <c r="V49" i="1" s="1"/>
  <c r="U49" i="1" a="1"/>
  <c r="U49" i="1" s="1"/>
  <c r="T49" i="1" a="1"/>
  <c r="T49" i="1" s="1"/>
  <c r="R49" i="1"/>
  <c r="Q49" i="1"/>
  <c r="P49" i="1"/>
  <c r="AC48" i="1"/>
  <c r="W48" i="1" a="1"/>
  <c r="W48" i="1" s="1"/>
  <c r="V48" i="1" a="1"/>
  <c r="V48" i="1" s="1"/>
  <c r="U48" i="1" a="1"/>
  <c r="U48" i="1" s="1"/>
  <c r="T48" i="1" a="1"/>
  <c r="T48" i="1" s="1"/>
  <c r="R48" i="1"/>
  <c r="Q48" i="1"/>
  <c r="P48" i="1"/>
  <c r="AC47" i="1"/>
  <c r="W47" i="1" a="1"/>
  <c r="W47" i="1" s="1"/>
  <c r="V47" i="1" a="1"/>
  <c r="V47" i="1" s="1"/>
  <c r="U47" i="1" a="1"/>
  <c r="U47" i="1" s="1"/>
  <c r="T47" i="1" a="1"/>
  <c r="T47" i="1" s="1"/>
  <c r="R47" i="1"/>
  <c r="Q47" i="1"/>
  <c r="P47" i="1"/>
  <c r="AC46" i="1"/>
  <c r="W46" i="1" a="1"/>
  <c r="W46" i="1" s="1"/>
  <c r="V46" i="1" a="1"/>
  <c r="V46" i="1" s="1"/>
  <c r="U46" i="1" a="1"/>
  <c r="U46" i="1" s="1"/>
  <c r="T46" i="1" a="1"/>
  <c r="T46" i="1" s="1"/>
  <c r="R46" i="1"/>
  <c r="Q46" i="1"/>
  <c r="P46" i="1"/>
  <c r="AC45" i="1"/>
  <c r="W45" i="1" a="1"/>
  <c r="W45" i="1" s="1"/>
  <c r="V45" i="1" a="1"/>
  <c r="V45" i="1" s="1"/>
  <c r="U45" i="1" a="1"/>
  <c r="U45" i="1" s="1"/>
  <c r="T45" i="1" a="1"/>
  <c r="T45" i="1" s="1"/>
  <c r="R45" i="1"/>
  <c r="Q45" i="1"/>
  <c r="P45" i="1"/>
  <c r="AC44" i="1"/>
  <c r="W44" i="1" a="1"/>
  <c r="W44" i="1" s="1"/>
  <c r="V44" i="1" a="1"/>
  <c r="V44" i="1" s="1"/>
  <c r="U44" i="1" a="1"/>
  <c r="U44" i="1" s="1"/>
  <c r="T44" i="1" a="1"/>
  <c r="T44" i="1" s="1"/>
  <c r="R44" i="1"/>
  <c r="Q44" i="1"/>
  <c r="P44" i="1"/>
  <c r="AC43" i="1"/>
  <c r="W43" i="1" a="1"/>
  <c r="W43" i="1" s="1"/>
  <c r="V43" i="1" a="1"/>
  <c r="V43" i="1" s="1"/>
  <c r="U43" i="1" a="1"/>
  <c r="U43" i="1" s="1"/>
  <c r="T43" i="1" a="1"/>
  <c r="T43" i="1" s="1"/>
  <c r="R43" i="1"/>
  <c r="Q43" i="1"/>
  <c r="P43" i="1"/>
  <c r="AC42" i="1"/>
  <c r="W42" i="1" a="1"/>
  <c r="W42" i="1" s="1"/>
  <c r="V42" i="1" a="1"/>
  <c r="V42" i="1" s="1"/>
  <c r="U42" i="1" a="1"/>
  <c r="U42" i="1" s="1"/>
  <c r="T42" i="1" a="1"/>
  <c r="T42" i="1" s="1"/>
  <c r="R42" i="1"/>
  <c r="Q42" i="1"/>
  <c r="P42" i="1"/>
  <c r="AC41" i="1"/>
  <c r="W41" i="1" a="1"/>
  <c r="W41" i="1" s="1"/>
  <c r="V41" i="1" a="1"/>
  <c r="V41" i="1" s="1"/>
  <c r="U41" i="1" a="1"/>
  <c r="U41" i="1" s="1"/>
  <c r="T41" i="1" a="1"/>
  <c r="T41" i="1" s="1"/>
  <c r="R41" i="1"/>
  <c r="Q41" i="1"/>
  <c r="P41" i="1"/>
  <c r="AC40" i="1"/>
  <c r="W40" i="1" a="1"/>
  <c r="W40" i="1" s="1"/>
  <c r="V40" i="1" a="1"/>
  <c r="V40" i="1" s="1"/>
  <c r="U40" i="1" a="1"/>
  <c r="U40" i="1" s="1"/>
  <c r="T40" i="1" a="1"/>
  <c r="T40" i="1" s="1"/>
  <c r="R40" i="1"/>
  <c r="Q40" i="1"/>
  <c r="P40" i="1"/>
  <c r="AC39" i="1"/>
  <c r="W39" i="1" a="1"/>
  <c r="W39" i="1" s="1"/>
  <c r="V39" i="1" a="1"/>
  <c r="V39" i="1" s="1"/>
  <c r="U39" i="1" a="1"/>
  <c r="U39" i="1" s="1"/>
  <c r="T39" i="1" a="1"/>
  <c r="T39" i="1" s="1"/>
  <c r="R39" i="1"/>
  <c r="Q39" i="1"/>
  <c r="P39" i="1"/>
  <c r="AC38" i="1"/>
  <c r="W38" i="1" a="1"/>
  <c r="W38" i="1" s="1"/>
  <c r="V38" i="1" a="1"/>
  <c r="V38" i="1" s="1"/>
  <c r="U38" i="1" a="1"/>
  <c r="U38" i="1" s="1"/>
  <c r="T38" i="1" a="1"/>
  <c r="T38" i="1" s="1"/>
  <c r="R38" i="1"/>
  <c r="Q38" i="1"/>
  <c r="P38" i="1"/>
  <c r="AC37" i="1"/>
  <c r="W37" i="1" a="1"/>
  <c r="W37" i="1" s="1"/>
  <c r="V37" i="1" a="1"/>
  <c r="V37" i="1" s="1"/>
  <c r="U37" i="1" a="1"/>
  <c r="U37" i="1" s="1"/>
  <c r="T37" i="1" a="1"/>
  <c r="T37" i="1" s="1"/>
  <c r="R37" i="1"/>
  <c r="Q37" i="1"/>
  <c r="P37" i="1"/>
  <c r="AC36" i="1"/>
  <c r="W36" i="1" a="1"/>
  <c r="W36" i="1" s="1"/>
  <c r="V36" i="1" a="1"/>
  <c r="V36" i="1" s="1"/>
  <c r="U36" i="1" a="1"/>
  <c r="U36" i="1" s="1"/>
  <c r="T36" i="1" a="1"/>
  <c r="T36" i="1" s="1"/>
  <c r="R36" i="1"/>
  <c r="Q36" i="1"/>
  <c r="P36" i="1"/>
  <c r="AC35" i="1"/>
  <c r="W35" i="1" a="1"/>
  <c r="W35" i="1" s="1"/>
  <c r="V35" i="1" a="1"/>
  <c r="V35" i="1" s="1"/>
  <c r="U35" i="1" a="1"/>
  <c r="U35" i="1" s="1"/>
  <c r="T35" i="1" a="1"/>
  <c r="T35" i="1" s="1"/>
  <c r="R35" i="1"/>
  <c r="Q35" i="1"/>
  <c r="P35" i="1"/>
  <c r="AC34" i="1"/>
  <c r="W34" i="1" a="1"/>
  <c r="W34" i="1" s="1"/>
  <c r="V34" i="1" a="1"/>
  <c r="V34" i="1" s="1"/>
  <c r="U34" i="1" a="1"/>
  <c r="U34" i="1" s="1"/>
  <c r="T34" i="1" a="1"/>
  <c r="T34" i="1" s="1"/>
  <c r="R34" i="1"/>
  <c r="Q34" i="1"/>
  <c r="P34" i="1"/>
  <c r="AC33" i="1"/>
  <c r="W33" i="1" a="1"/>
  <c r="W33" i="1" s="1"/>
  <c r="V33" i="1" a="1"/>
  <c r="V33" i="1" s="1"/>
  <c r="U33" i="1" a="1"/>
  <c r="U33" i="1" s="1"/>
  <c r="T33" i="1" a="1"/>
  <c r="T33" i="1" s="1"/>
  <c r="R33" i="1"/>
  <c r="Q33" i="1"/>
  <c r="P33" i="1"/>
  <c r="AC32" i="1"/>
  <c r="W32" i="1" a="1"/>
  <c r="W32" i="1" s="1"/>
  <c r="V32" i="1" a="1"/>
  <c r="V32" i="1" s="1"/>
  <c r="U32" i="1" a="1"/>
  <c r="U32" i="1" s="1"/>
  <c r="T32" i="1" a="1"/>
  <c r="T32" i="1" s="1"/>
  <c r="R32" i="1"/>
  <c r="Q32" i="1"/>
  <c r="P32" i="1"/>
  <c r="AC31" i="1"/>
  <c r="W31" i="1" a="1"/>
  <c r="W31" i="1" s="1"/>
  <c r="V31" i="1" a="1"/>
  <c r="V31" i="1" s="1"/>
  <c r="U31" i="1" a="1"/>
  <c r="U31" i="1" s="1"/>
  <c r="T31" i="1" a="1"/>
  <c r="T31" i="1" s="1"/>
  <c r="R31" i="1"/>
  <c r="Q31" i="1"/>
  <c r="P31" i="1"/>
  <c r="AC30" i="1"/>
  <c r="W30" i="1" a="1"/>
  <c r="W30" i="1" s="1"/>
  <c r="V30" i="1" a="1"/>
  <c r="V30" i="1" s="1"/>
  <c r="U30" i="1" a="1"/>
  <c r="U30" i="1" s="1"/>
  <c r="T30" i="1" a="1"/>
  <c r="T30" i="1" s="1"/>
  <c r="R30" i="1"/>
  <c r="Q30" i="1"/>
  <c r="P30" i="1"/>
  <c r="AC29" i="1"/>
  <c r="W29" i="1" a="1"/>
  <c r="W29" i="1" s="1"/>
  <c r="V29" i="1" a="1"/>
  <c r="V29" i="1" s="1"/>
  <c r="U29" i="1" a="1"/>
  <c r="U29" i="1" s="1"/>
  <c r="T29" i="1" a="1"/>
  <c r="T29" i="1" s="1"/>
  <c r="R29" i="1"/>
  <c r="Q29" i="1"/>
  <c r="P29" i="1"/>
  <c r="AC28" i="1"/>
  <c r="W28" i="1" a="1"/>
  <c r="W28" i="1" s="1"/>
  <c r="V28" i="1" a="1"/>
  <c r="V28" i="1" s="1"/>
  <c r="U28" i="1" a="1"/>
  <c r="U28" i="1" s="1"/>
  <c r="T28" i="1" a="1"/>
  <c r="T28" i="1" s="1"/>
  <c r="R28" i="1"/>
  <c r="Q28" i="1"/>
  <c r="P28" i="1"/>
  <c r="AC27" i="1"/>
  <c r="W27" i="1" a="1"/>
  <c r="W27" i="1" s="1"/>
  <c r="V27" i="1" a="1"/>
  <c r="V27" i="1" s="1"/>
  <c r="U27" i="1" a="1"/>
  <c r="U27" i="1" s="1"/>
  <c r="T27" i="1" a="1"/>
  <c r="T27" i="1" s="1"/>
  <c r="R27" i="1"/>
  <c r="Q27" i="1"/>
  <c r="P27" i="1"/>
  <c r="AC26" i="1"/>
  <c r="W26" i="1" a="1"/>
  <c r="W26" i="1" s="1"/>
  <c r="V26" i="1" a="1"/>
  <c r="V26" i="1" s="1"/>
  <c r="U26" i="1" a="1"/>
  <c r="U26" i="1" s="1"/>
  <c r="T26" i="1" a="1"/>
  <c r="T26" i="1" s="1"/>
  <c r="R26" i="1"/>
  <c r="Q26" i="1"/>
  <c r="P26" i="1"/>
  <c r="AC25" i="1"/>
  <c r="W25" i="1" a="1"/>
  <c r="W25" i="1" s="1"/>
  <c r="V25" i="1" a="1"/>
  <c r="V25" i="1" s="1"/>
  <c r="U25" i="1" a="1"/>
  <c r="U25" i="1" s="1"/>
  <c r="T25" i="1" a="1"/>
  <c r="T25" i="1" s="1"/>
  <c r="R25" i="1"/>
  <c r="Q25" i="1"/>
  <c r="P25" i="1"/>
  <c r="AC24" i="1"/>
  <c r="W24" i="1" a="1"/>
  <c r="W24" i="1" s="1"/>
  <c r="V24" i="1" a="1"/>
  <c r="V24" i="1" s="1"/>
  <c r="U24" i="1" a="1"/>
  <c r="U24" i="1" s="1"/>
  <c r="T24" i="1" a="1"/>
  <c r="T24" i="1" s="1"/>
  <c r="R24" i="1"/>
  <c r="Q24" i="1"/>
  <c r="P24" i="1"/>
  <c r="AC23" i="1"/>
  <c r="W23" i="1" a="1"/>
  <c r="W23" i="1" s="1"/>
  <c r="V23" i="1" a="1"/>
  <c r="V23" i="1" s="1"/>
  <c r="U23" i="1" a="1"/>
  <c r="U23" i="1" s="1"/>
  <c r="T23" i="1" a="1"/>
  <c r="T23" i="1" s="1"/>
  <c r="R23" i="1"/>
  <c r="Q23" i="1"/>
  <c r="P23" i="1"/>
  <c r="AC22" i="1"/>
  <c r="W22" i="1" a="1"/>
  <c r="W22" i="1" s="1"/>
  <c r="V22" i="1" a="1"/>
  <c r="V22" i="1" s="1"/>
  <c r="U22" i="1" a="1"/>
  <c r="U22" i="1" s="1"/>
  <c r="T22" i="1" a="1"/>
  <c r="T22" i="1" s="1"/>
  <c r="R22" i="1"/>
  <c r="Q22" i="1"/>
  <c r="P22" i="1"/>
  <c r="AC21" i="1"/>
  <c r="W21" i="1" a="1"/>
  <c r="W21" i="1" s="1"/>
  <c r="V21" i="1" a="1"/>
  <c r="V21" i="1" s="1"/>
  <c r="U21" i="1" a="1"/>
  <c r="U21" i="1" s="1"/>
  <c r="T21" i="1" a="1"/>
  <c r="T21" i="1" s="1"/>
  <c r="R21" i="1"/>
  <c r="Q21" i="1"/>
  <c r="P21" i="1"/>
  <c r="AC20" i="1"/>
  <c r="W20" i="1" a="1"/>
  <c r="W20" i="1" s="1"/>
  <c r="V20" i="1" a="1"/>
  <c r="V20" i="1" s="1"/>
  <c r="U20" i="1" a="1"/>
  <c r="U20" i="1" s="1"/>
  <c r="T20" i="1" a="1"/>
  <c r="T20" i="1" s="1"/>
  <c r="R20" i="1"/>
  <c r="Q20" i="1"/>
  <c r="P20" i="1"/>
  <c r="AC19" i="1"/>
  <c r="W19" i="1" a="1"/>
  <c r="W19" i="1" s="1"/>
  <c r="V19" i="1" a="1"/>
  <c r="V19" i="1" s="1"/>
  <c r="U19" i="1" a="1"/>
  <c r="U19" i="1" s="1"/>
  <c r="T19" i="1" a="1"/>
  <c r="T19" i="1" s="1"/>
  <c r="R19" i="1"/>
  <c r="Q19" i="1"/>
  <c r="P19" i="1"/>
  <c r="AC18" i="1"/>
  <c r="W18" i="1" a="1"/>
  <c r="W18" i="1" s="1"/>
  <c r="V18" i="1" a="1"/>
  <c r="V18" i="1" s="1"/>
  <c r="U18" i="1" a="1"/>
  <c r="U18" i="1" s="1"/>
  <c r="T18" i="1" a="1"/>
  <c r="T18" i="1" s="1"/>
  <c r="R18" i="1"/>
  <c r="Q18" i="1"/>
  <c r="P18" i="1"/>
  <c r="AC17" i="1"/>
  <c r="W17" i="1" a="1"/>
  <c r="W17" i="1" s="1"/>
  <c r="V17" i="1" a="1"/>
  <c r="V17" i="1" s="1"/>
  <c r="U17" i="1" a="1"/>
  <c r="U17" i="1" s="1"/>
  <c r="T17" i="1" a="1"/>
  <c r="T17" i="1" s="1"/>
  <c r="R17" i="1"/>
  <c r="Q17" i="1"/>
  <c r="P17" i="1"/>
  <c r="AC16" i="1"/>
  <c r="W16" i="1" a="1"/>
  <c r="W16" i="1" s="1"/>
  <c r="V16" i="1" a="1"/>
  <c r="V16" i="1" s="1"/>
  <c r="U16" i="1" a="1"/>
  <c r="U16" i="1" s="1"/>
  <c r="T16" i="1" a="1"/>
  <c r="T16" i="1" s="1"/>
  <c r="R16" i="1"/>
  <c r="Q16" i="1"/>
  <c r="P16" i="1"/>
  <c r="AC15" i="1"/>
  <c r="W15" i="1" a="1"/>
  <c r="W15" i="1" s="1"/>
  <c r="V15" i="1" a="1"/>
  <c r="V15" i="1" s="1"/>
  <c r="U15" i="1" a="1"/>
  <c r="U15" i="1" s="1"/>
  <c r="T15" i="1" a="1"/>
  <c r="T15" i="1" s="1"/>
  <c r="R15" i="1"/>
  <c r="Q15" i="1"/>
  <c r="P15" i="1"/>
  <c r="AC14" i="1"/>
  <c r="W14" i="1" a="1"/>
  <c r="W14" i="1" s="1"/>
  <c r="V14" i="1" a="1"/>
  <c r="V14" i="1" s="1"/>
  <c r="U14" i="1" a="1"/>
  <c r="U14" i="1" s="1"/>
  <c r="T14" i="1" a="1"/>
  <c r="T14" i="1" s="1"/>
  <c r="R14" i="1"/>
  <c r="Q14" i="1"/>
  <c r="S14" i="1" s="1"/>
  <c r="P14" i="1"/>
  <c r="AC13" i="1"/>
  <c r="W13" i="1" a="1"/>
  <c r="W13" i="1" s="1"/>
  <c r="V13" i="1" a="1"/>
  <c r="V13" i="1" s="1"/>
  <c r="U13" i="1" a="1"/>
  <c r="U13" i="1" s="1"/>
  <c r="T13" i="1" a="1"/>
  <c r="T13" i="1" s="1"/>
  <c r="R13" i="1"/>
  <c r="Q13" i="1"/>
  <c r="P13" i="1"/>
  <c r="AC12" i="1"/>
  <c r="W12" i="1" a="1"/>
  <c r="W12" i="1" s="1"/>
  <c r="V12" i="1" a="1"/>
  <c r="V12" i="1" s="1"/>
  <c r="U12" i="1" a="1"/>
  <c r="U12" i="1" s="1"/>
  <c r="T12" i="1" a="1"/>
  <c r="T12" i="1" s="1"/>
  <c r="R12" i="1"/>
  <c r="Q12" i="1"/>
  <c r="P12" i="1"/>
  <c r="AC11" i="1"/>
  <c r="W11" i="1" a="1"/>
  <c r="W11" i="1" s="1"/>
  <c r="V11" i="1" a="1"/>
  <c r="V11" i="1" s="1"/>
  <c r="U11" i="1" a="1"/>
  <c r="U11" i="1" s="1"/>
  <c r="T11" i="1" a="1"/>
  <c r="T11" i="1" s="1"/>
  <c r="R11" i="1"/>
  <c r="Q11" i="1"/>
  <c r="P11" i="1"/>
  <c r="AC10" i="1"/>
  <c r="W10" i="1" a="1"/>
  <c r="W10" i="1" s="1"/>
  <c r="V10" i="1" a="1"/>
  <c r="V10" i="1" s="1"/>
  <c r="U10" i="1" a="1"/>
  <c r="U10" i="1" s="1"/>
  <c r="T10" i="1" a="1"/>
  <c r="T10" i="1" s="1"/>
  <c r="R10" i="1"/>
  <c r="Q10" i="1"/>
  <c r="P10" i="1"/>
  <c r="AC9" i="1"/>
  <c r="W9" i="1" a="1"/>
  <c r="W9" i="1" s="1"/>
  <c r="V9" i="1" a="1"/>
  <c r="V9" i="1" s="1"/>
  <c r="U9" i="1" a="1"/>
  <c r="U9" i="1" s="1"/>
  <c r="T9" i="1" a="1"/>
  <c r="T9" i="1" s="1"/>
  <c r="R9" i="1"/>
  <c r="Q9" i="1"/>
  <c r="P9" i="1"/>
  <c r="AC8" i="1"/>
  <c r="W8" i="1" a="1"/>
  <c r="W8" i="1" s="1"/>
  <c r="V8" i="1" a="1"/>
  <c r="V8" i="1" s="1"/>
  <c r="U8" i="1" a="1"/>
  <c r="U8" i="1" s="1"/>
  <c r="T8" i="1" a="1"/>
  <c r="T8" i="1" s="1"/>
  <c r="R8" i="1"/>
  <c r="Q8" i="1"/>
  <c r="P8" i="1"/>
  <c r="AC7" i="1"/>
  <c r="W7" i="1" a="1"/>
  <c r="W7" i="1" s="1"/>
  <c r="V7" i="1" a="1"/>
  <c r="V7" i="1" s="1"/>
  <c r="U7" i="1" a="1"/>
  <c r="U7" i="1" s="1"/>
  <c r="T7" i="1" a="1"/>
  <c r="T7" i="1" s="1"/>
  <c r="R7" i="1"/>
  <c r="Q7" i="1"/>
  <c r="P7" i="1"/>
  <c r="AC6" i="1"/>
  <c r="W6" i="1" a="1"/>
  <c r="W6" i="1" s="1"/>
  <c r="V6" i="1" a="1"/>
  <c r="V6" i="1" s="1"/>
  <c r="U6" i="1" a="1"/>
  <c r="U6" i="1" s="1"/>
  <c r="T6" i="1" a="1"/>
  <c r="T6" i="1" s="1"/>
  <c r="R6" i="1"/>
  <c r="Q6" i="1"/>
  <c r="P6" i="1"/>
  <c r="AC5" i="1"/>
  <c r="W5" i="1" a="1"/>
  <c r="W5" i="1" s="1"/>
  <c r="V5" i="1" a="1"/>
  <c r="V5" i="1" s="1"/>
  <c r="U5" i="1" a="1"/>
  <c r="U5" i="1" s="1"/>
  <c r="T5" i="1" a="1"/>
  <c r="T5" i="1" s="1"/>
  <c r="R5" i="1"/>
  <c r="Q5" i="1"/>
  <c r="P5" i="1"/>
  <c r="AC4" i="1"/>
  <c r="W4" i="1" a="1"/>
  <c r="W4" i="1" s="1"/>
  <c r="V4" i="1" a="1"/>
  <c r="V4" i="1" s="1"/>
  <c r="U4" i="1" a="1"/>
  <c r="U4" i="1" s="1"/>
  <c r="T4" i="1" a="1"/>
  <c r="T4" i="1" s="1"/>
  <c r="R4" i="1"/>
  <c r="Q4" i="1"/>
  <c r="P4" i="1"/>
  <c r="AC3" i="1"/>
  <c r="W3" i="1" a="1"/>
  <c r="W3" i="1" s="1"/>
  <c r="V3" i="1" a="1"/>
  <c r="V3" i="1" s="1"/>
  <c r="U3" i="1" a="1"/>
  <c r="U3" i="1" s="1"/>
  <c r="T3" i="1" a="1"/>
  <c r="T3" i="1" s="1"/>
  <c r="R3" i="1"/>
  <c r="Q3" i="1"/>
  <c r="P3" i="1"/>
  <c r="AC2" i="1"/>
  <c r="W2" i="1" a="1"/>
  <c r="W2" i="1" s="1"/>
  <c r="V2" i="1" a="1"/>
  <c r="V2" i="1" s="1"/>
  <c r="U2" i="1" a="1"/>
  <c r="U2" i="1" s="1"/>
  <c r="T2" i="1" a="1"/>
  <c r="T2" i="1" s="1"/>
  <c r="R2" i="1"/>
  <c r="Q2" i="1"/>
  <c r="S2" i="1" s="1"/>
  <c r="S17" i="1" l="1"/>
  <c r="S160" i="1"/>
  <c r="S49" i="1"/>
  <c r="S52" i="1"/>
  <c r="S124" i="1"/>
  <c r="S150" i="1"/>
  <c r="S156" i="1"/>
  <c r="S168" i="1"/>
  <c r="S171" i="1"/>
  <c r="S186" i="1"/>
  <c r="S43" i="1"/>
  <c r="S55" i="1"/>
  <c r="S16" i="1"/>
  <c r="S19" i="1"/>
  <c r="S22" i="1"/>
  <c r="S72" i="1"/>
  <c r="S44" i="1"/>
  <c r="S6" i="1"/>
  <c r="S9" i="1"/>
  <c r="S62" i="1"/>
  <c r="S74" i="1"/>
  <c r="S77" i="1"/>
  <c r="S188" i="1"/>
  <c r="S5" i="1"/>
  <c r="S185" i="1"/>
  <c r="S48" i="1"/>
  <c r="S85" i="1"/>
  <c r="S88" i="1"/>
  <c r="S106" i="1"/>
  <c r="S115" i="1"/>
  <c r="S60" i="1"/>
  <c r="S40" i="1"/>
  <c r="S50" i="1"/>
  <c r="S53" i="1"/>
  <c r="S129" i="1"/>
  <c r="S108" i="1"/>
  <c r="S136" i="1"/>
  <c r="S12" i="1"/>
  <c r="S31" i="1"/>
  <c r="S117" i="1"/>
  <c r="S120" i="1"/>
  <c r="S123" i="1"/>
  <c r="S63" i="1"/>
  <c r="S151" i="1"/>
  <c r="S132" i="1"/>
  <c r="S24" i="1"/>
  <c r="S30" i="1"/>
  <c r="S94" i="1"/>
  <c r="S122" i="1"/>
  <c r="S59" i="1"/>
  <c r="S7" i="1"/>
  <c r="S93" i="1"/>
  <c r="S96" i="1"/>
  <c r="S118" i="1"/>
  <c r="S103" i="1"/>
  <c r="S161" i="1"/>
  <c r="S65" i="1"/>
  <c r="S58" i="1"/>
  <c r="S68" i="1"/>
  <c r="S89" i="1"/>
  <c r="S112" i="1"/>
  <c r="S137" i="1"/>
  <c r="S147" i="1"/>
  <c r="S157" i="1"/>
  <c r="S8" i="1"/>
  <c r="S11" i="1"/>
  <c r="S15" i="1"/>
  <c r="S18" i="1"/>
  <c r="S21" i="1"/>
  <c r="S119" i="1"/>
  <c r="S139" i="1"/>
  <c r="S153" i="1"/>
  <c r="S163" i="1"/>
  <c r="S167" i="1"/>
  <c r="S170" i="1"/>
  <c r="S190" i="1"/>
  <c r="S36" i="1"/>
  <c r="S57" i="1"/>
  <c r="S67" i="1"/>
  <c r="S84" i="1"/>
  <c r="S91" i="1"/>
  <c r="S111" i="1"/>
  <c r="S125" i="1"/>
  <c r="S183" i="1"/>
  <c r="S4" i="1"/>
  <c r="S29" i="1"/>
  <c r="S80" i="1"/>
  <c r="S97" i="1"/>
  <c r="S104" i="1"/>
  <c r="S114" i="1"/>
  <c r="S121" i="1"/>
  <c r="S131" i="1"/>
  <c r="S135" i="1"/>
  <c r="S166" i="1"/>
  <c r="S179" i="1"/>
  <c r="S189" i="1"/>
  <c r="S32" i="1"/>
  <c r="S42" i="1"/>
  <c r="S56" i="1"/>
  <c r="S66" i="1"/>
  <c r="S76" i="1"/>
  <c r="S107" i="1"/>
  <c r="S110" i="1"/>
  <c r="S155" i="1"/>
  <c r="S172" i="1"/>
  <c r="S13" i="1"/>
  <c r="S35" i="1"/>
  <c r="S69" i="1"/>
  <c r="S100" i="1"/>
  <c r="S113" i="1"/>
  <c r="S134" i="1"/>
  <c r="S158" i="1"/>
  <c r="S175" i="1"/>
  <c r="S26" i="1"/>
  <c r="S73" i="1"/>
  <c r="S83" i="1"/>
  <c r="S87" i="1"/>
  <c r="S92" i="1"/>
  <c r="S105" i="1"/>
  <c r="S128" i="1"/>
  <c r="S146" i="1"/>
  <c r="S154" i="1"/>
  <c r="S159" i="1"/>
  <c r="S165" i="1"/>
  <c r="S169" i="1"/>
  <c r="S174" i="1"/>
  <c r="S178" i="1"/>
  <c r="S187" i="1"/>
  <c r="S38" i="1"/>
  <c r="S173" i="1"/>
  <c r="S182" i="1"/>
  <c r="S10" i="1"/>
  <c r="S25" i="1"/>
  <c r="S86" i="1"/>
  <c r="S95" i="1"/>
  <c r="S127" i="1"/>
  <c r="S133" i="1"/>
  <c r="S145" i="1"/>
  <c r="S164" i="1"/>
  <c r="S177" i="1"/>
  <c r="S101" i="1"/>
  <c r="S45" i="1"/>
  <c r="S140" i="1"/>
  <c r="S23" i="1"/>
  <c r="S79" i="1"/>
  <c r="S39" i="1"/>
  <c r="S70" i="1"/>
  <c r="S71" i="1"/>
  <c r="S81" i="1"/>
  <c r="S98" i="1"/>
  <c r="S109" i="1"/>
  <c r="S144" i="1"/>
  <c r="S149" i="1"/>
  <c r="S181" i="1"/>
  <c r="S46" i="1"/>
  <c r="S116" i="1"/>
  <c r="S41" i="1"/>
  <c r="S78" i="1"/>
  <c r="S28" i="1"/>
  <c r="S47" i="1"/>
  <c r="S37" i="1"/>
  <c r="S33" i="1"/>
  <c r="S64" i="1"/>
  <c r="S102" i="1"/>
  <c r="S130" i="1"/>
  <c r="S143" i="1"/>
  <c r="S148" i="1"/>
  <c r="S152" i="1"/>
  <c r="S176" i="1"/>
  <c r="S184" i="1"/>
  <c r="S142" i="1"/>
  <c r="S27" i="1"/>
  <c r="S141" i="1"/>
  <c r="S20" i="1"/>
  <c r="S180" i="1"/>
  <c r="S75" i="1"/>
  <c r="S82" i="1"/>
  <c r="S126" i="1"/>
  <c r="S34" i="1"/>
  <c r="S51" i="1"/>
  <c r="S54" i="1"/>
  <c r="S61" i="1"/>
  <c r="S99" i="1"/>
  <c r="S138" i="1"/>
  <c r="S3" i="1"/>
  <c r="S90" i="1"/>
  <c r="S16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<sst xmlns="http://schemas.openxmlformats.org/spreadsheetml/2006/main" count="974" uniqueCount="521">
  <si>
    <t>2-8</t>
  </si>
  <si>
    <t>4-10</t>
  </si>
  <si>
    <t>6-12</t>
  </si>
  <si>
    <t>8-14</t>
  </si>
  <si>
    <t>10-16</t>
  </si>
  <si>
    <t>12-18</t>
  </si>
  <si>
    <t>14-20</t>
  </si>
  <si>
    <t>source_index</t>
  </si>
  <si>
    <t>source_file</t>
  </si>
  <si>
    <t>global_request_id</t>
  </si>
  <si>
    <t>依頼No.</t>
  </si>
  <si>
    <t>SID</t>
  </si>
  <si>
    <t>属性</t>
  </si>
  <si>
    <t>平均</t>
    <rPh sb="0" eb="2">
      <t>ヘイキン</t>
    </rPh>
    <phoneticPr fontId="1"/>
  </si>
  <si>
    <t>最大</t>
    <rPh sb="0" eb="2">
      <t>サイダイ</t>
    </rPh>
    <phoneticPr fontId="1"/>
  </si>
  <si>
    <t>最小</t>
    <rPh sb="0" eb="2">
      <t>サイショウ</t>
    </rPh>
    <phoneticPr fontId="1"/>
  </si>
  <si>
    <t>レンジ</t>
    <phoneticPr fontId="1"/>
  </si>
  <si>
    <t>最大上昇率</t>
    <rPh sb="0" eb="2">
      <t>サイダイ</t>
    </rPh>
    <rPh sb="2" eb="4">
      <t>ジョウショウ</t>
    </rPh>
    <rPh sb="4" eb="5">
      <t>リツ</t>
    </rPh>
    <phoneticPr fontId="1"/>
  </si>
  <si>
    <t>最大上昇速度</t>
    <rPh sb="0" eb="2">
      <t>サイダイ</t>
    </rPh>
    <rPh sb="2" eb="4">
      <t>ジョウショウ</t>
    </rPh>
    <rPh sb="4" eb="6">
      <t>ソクド</t>
    </rPh>
    <phoneticPr fontId="1"/>
  </si>
  <si>
    <t>最大下落率</t>
    <rPh sb="0" eb="2">
      <t>サイダイ</t>
    </rPh>
    <rPh sb="2" eb="5">
      <t>ゲラクリツ</t>
    </rPh>
    <phoneticPr fontId="1"/>
  </si>
  <si>
    <t>最大下落速度</t>
    <rPh sb="0" eb="2">
      <t>サイダイ</t>
    </rPh>
    <rPh sb="2" eb="4">
      <t>ゲラク</t>
    </rPh>
    <rPh sb="4" eb="6">
      <t>ソクド</t>
    </rPh>
    <phoneticPr fontId="1"/>
  </si>
  <si>
    <t>CSV_data_F07_20240604074000.csv</t>
  </si>
  <si>
    <t>3_70</t>
  </si>
  <si>
    <t>Request-0070</t>
  </si>
  <si>
    <t>240117 TAT-3</t>
  </si>
  <si>
    <t>240625 F07 TAT高値-スクリ－ニング (No.41～150) CSV_data.csv</t>
  </si>
  <si>
    <t>2_0120</t>
  </si>
  <si>
    <t>Request-0120</t>
  </si>
  <si>
    <t>240619_T病院-150</t>
  </si>
  <si>
    <t>3_53</t>
  </si>
  <si>
    <t>Request-0053</t>
  </si>
  <si>
    <t>240117 TAT-39</t>
  </si>
  <si>
    <t>2_0025</t>
  </si>
  <si>
    <t>Request-0025</t>
  </si>
  <si>
    <t>240619_T病院-65</t>
  </si>
  <si>
    <t>240624 F07---TAT高値検体-スクリ－ニング (1～40).csv</t>
  </si>
  <si>
    <t>1_27</t>
  </si>
  <si>
    <t>Request-0027</t>
  </si>
  <si>
    <t>240619_T病院-12</t>
  </si>
  <si>
    <t>2_0023</t>
  </si>
  <si>
    <t>Request-0023</t>
  </si>
  <si>
    <t>240619_T病院-63</t>
  </si>
  <si>
    <t>2_0057</t>
  </si>
  <si>
    <t>Request-0057</t>
  </si>
  <si>
    <t>240619_T病院-97</t>
  </si>
  <si>
    <t>1_44</t>
  </si>
  <si>
    <t>Request-0044</t>
  </si>
  <si>
    <t>240619_T病院-29</t>
  </si>
  <si>
    <t>3_51</t>
  </si>
  <si>
    <t>Request-0051</t>
  </si>
  <si>
    <t>240117 TAT-37</t>
  </si>
  <si>
    <t>1_32</t>
  </si>
  <si>
    <t>Request-0032</t>
  </si>
  <si>
    <t>240619_T病院-17</t>
  </si>
  <si>
    <t>1_28</t>
  </si>
  <si>
    <t>Request-0028</t>
  </si>
  <si>
    <t>240619_T病院-13</t>
  </si>
  <si>
    <t>1_30</t>
  </si>
  <si>
    <t>Request-0030</t>
  </si>
  <si>
    <t>240619_T病院-15</t>
  </si>
  <si>
    <t>1_33</t>
  </si>
  <si>
    <t>Request-0033</t>
  </si>
  <si>
    <t>240619_T病院-18</t>
  </si>
  <si>
    <t>3_65</t>
  </si>
  <si>
    <t>Request-0065</t>
  </si>
  <si>
    <t>240117 TAT-46</t>
  </si>
  <si>
    <t>2_0037</t>
  </si>
  <si>
    <t>Request-0037</t>
  </si>
  <si>
    <t>240619_T病院-77</t>
  </si>
  <si>
    <t>2_0048</t>
  </si>
  <si>
    <t>Request-0048</t>
  </si>
  <si>
    <t>240619_T病院-88</t>
  </si>
  <si>
    <t>2_0058</t>
  </si>
  <si>
    <t>Request-0058</t>
  </si>
  <si>
    <t>240619_T病院-98</t>
  </si>
  <si>
    <t>2_0073</t>
  </si>
  <si>
    <t>Request-0073</t>
  </si>
  <si>
    <t>240619_T病院-113</t>
  </si>
  <si>
    <t>1_40</t>
  </si>
  <si>
    <t>Request-0040</t>
  </si>
  <si>
    <t>240619_T病院-25</t>
  </si>
  <si>
    <t>2_0016</t>
  </si>
  <si>
    <t>Request-0016</t>
  </si>
  <si>
    <t>240619_T病院-56</t>
  </si>
  <si>
    <t>2_0001</t>
  </si>
  <si>
    <t>Request-0001</t>
  </si>
  <si>
    <t>240619_T病院-41</t>
  </si>
  <si>
    <t>3_54</t>
  </si>
  <si>
    <t>Request-0054</t>
  </si>
  <si>
    <t>240117 TAT-40</t>
  </si>
  <si>
    <t>1_38</t>
  </si>
  <si>
    <t>Request-0038</t>
  </si>
  <si>
    <t>240619_T病院-23</t>
  </si>
  <si>
    <t>2_0040</t>
  </si>
  <si>
    <t>240619_T病院-80</t>
  </si>
  <si>
    <t>1_54</t>
  </si>
  <si>
    <t>240619_T病院-39</t>
  </si>
  <si>
    <t>2_0026</t>
  </si>
  <si>
    <t>Request-0026</t>
  </si>
  <si>
    <t>240619_T病院-66</t>
  </si>
  <si>
    <t>1_35</t>
  </si>
  <si>
    <t>Request-0035</t>
  </si>
  <si>
    <t>240619_T病院-20</t>
  </si>
  <si>
    <t>1_22</t>
  </si>
  <si>
    <t>Request-0022</t>
  </si>
  <si>
    <t>240619_T病院-7</t>
  </si>
  <si>
    <t>1_52</t>
  </si>
  <si>
    <t>Request-0052</t>
  </si>
  <si>
    <t>240619_T病院-37</t>
  </si>
  <si>
    <t>2_0087</t>
  </si>
  <si>
    <t>Request-0087</t>
  </si>
  <si>
    <t>240619_T病院-127</t>
  </si>
  <si>
    <t>2_0017</t>
  </si>
  <si>
    <t>Request-0017</t>
  </si>
  <si>
    <t>240619_T病院-57</t>
  </si>
  <si>
    <t>2_0051</t>
  </si>
  <si>
    <t>240619_T病院-91</t>
  </si>
  <si>
    <t>1_41</t>
  </si>
  <si>
    <t>Request-0041</t>
  </si>
  <si>
    <t>240619_T病院-26</t>
  </si>
  <si>
    <t>2_0029</t>
  </si>
  <si>
    <t>Request-0029</t>
  </si>
  <si>
    <t>240619_T病院-69</t>
  </si>
  <si>
    <t>2_0004</t>
  </si>
  <si>
    <t>Request-0004</t>
  </si>
  <si>
    <t>240619_T病院-44</t>
  </si>
  <si>
    <t>3_66</t>
  </si>
  <si>
    <t>Request-0066</t>
  </si>
  <si>
    <t>240117 TAT-47</t>
  </si>
  <si>
    <t>3_67</t>
  </si>
  <si>
    <t>Request-0067</t>
  </si>
  <si>
    <t>240117 TAT-48</t>
  </si>
  <si>
    <t>2_0049</t>
  </si>
  <si>
    <t>Request-0049</t>
  </si>
  <si>
    <t>240619_T病院-89</t>
  </si>
  <si>
    <t>1_34</t>
  </si>
  <si>
    <t>Request-0034</t>
  </si>
  <si>
    <t>240619_T病院-19</t>
  </si>
  <si>
    <t>1_47</t>
  </si>
  <si>
    <t>Request-0047</t>
  </si>
  <si>
    <t>240619_T病院-32</t>
  </si>
  <si>
    <t>2_0113</t>
  </si>
  <si>
    <t>Request-0113</t>
  </si>
  <si>
    <t>240619_T病院-143</t>
  </si>
  <si>
    <t>2_0043</t>
  </si>
  <si>
    <t>Request-0043</t>
  </si>
  <si>
    <t>240619_T病院-83</t>
  </si>
  <si>
    <t>1_16</t>
  </si>
  <si>
    <t>240619_T病院-1</t>
  </si>
  <si>
    <t>2_0021</t>
  </si>
  <si>
    <t>Request-0021</t>
  </si>
  <si>
    <t>240619_T病院-61</t>
  </si>
  <si>
    <t>1_18</t>
  </si>
  <si>
    <t>Request-0018</t>
  </si>
  <si>
    <t>240619_T病院-3</t>
  </si>
  <si>
    <t>2_0036</t>
  </si>
  <si>
    <t>Request-0036</t>
  </si>
  <si>
    <t>240619_T病院-76</t>
  </si>
  <si>
    <t>2_0052</t>
  </si>
  <si>
    <t>240619_T病院-92</t>
  </si>
  <si>
    <t>2_0063</t>
  </si>
  <si>
    <t>Request-0063</t>
  </si>
  <si>
    <t>240619_T病院-103</t>
  </si>
  <si>
    <t>2_0064</t>
  </si>
  <si>
    <t>Request-0064</t>
  </si>
  <si>
    <t>240619_T病院-104</t>
  </si>
  <si>
    <t>3_58</t>
  </si>
  <si>
    <t>240117 TAT-44</t>
  </si>
  <si>
    <t>2_0005</t>
  </si>
  <si>
    <t>Request-0005</t>
  </si>
  <si>
    <t>240619_T病院-45</t>
  </si>
  <si>
    <t>3_56</t>
  </si>
  <si>
    <t>Request-0056</t>
  </si>
  <si>
    <t>240117 TAT-42</t>
  </si>
  <si>
    <t>2_0022</t>
  </si>
  <si>
    <t>240619_T病院-62</t>
  </si>
  <si>
    <t>1_43</t>
  </si>
  <si>
    <t>240619_T病院-28</t>
  </si>
  <si>
    <t>2_0024</t>
  </si>
  <si>
    <t>Request-0024</t>
  </si>
  <si>
    <t>240619_T病院-64</t>
  </si>
  <si>
    <t>2_0009</t>
  </si>
  <si>
    <t>Request-0009</t>
  </si>
  <si>
    <t>240619_T病院-49</t>
  </si>
  <si>
    <t>1_46</t>
  </si>
  <si>
    <t>Request-0046</t>
  </si>
  <si>
    <t>240619_T病院-31</t>
  </si>
  <si>
    <t>2_0015</t>
  </si>
  <si>
    <t>Request-0015</t>
  </si>
  <si>
    <t>240619_T病院-55</t>
  </si>
  <si>
    <t>1_48</t>
  </si>
  <si>
    <t>240619_T病院-33</t>
  </si>
  <si>
    <t>3_55</t>
  </si>
  <si>
    <t>Request-0055</t>
  </si>
  <si>
    <t>240117 TAT-41</t>
  </si>
  <si>
    <t>2_0093</t>
  </si>
  <si>
    <t>Request-0093</t>
  </si>
  <si>
    <t>240619_T病院-133</t>
  </si>
  <si>
    <t>1_53</t>
  </si>
  <si>
    <t>240619_T病院-38</t>
  </si>
  <si>
    <t>2_0019</t>
  </si>
  <si>
    <t>Request-0019</t>
  </si>
  <si>
    <t>240619_T病院-59</t>
  </si>
  <si>
    <t>2_0035</t>
  </si>
  <si>
    <t>240619_T病院-75</t>
  </si>
  <si>
    <t>3_33</t>
  </si>
  <si>
    <t>240117 TAT-19</t>
  </si>
  <si>
    <t>1_23</t>
  </si>
  <si>
    <t>240619_T病院-8</t>
  </si>
  <si>
    <t>1_24</t>
  </si>
  <si>
    <t>240619_T病院-9</t>
  </si>
  <si>
    <t>1_39</t>
  </si>
  <si>
    <t>Request-0039</t>
  </si>
  <si>
    <t>240619_T病院-24</t>
  </si>
  <si>
    <t>2_0032</t>
  </si>
  <si>
    <t>240619_T病院-72</t>
  </si>
  <si>
    <t>2_0045</t>
  </si>
  <si>
    <t>Request-0045</t>
  </si>
  <si>
    <t>240619_T病院-85</t>
  </si>
  <si>
    <t>2_0119</t>
  </si>
  <si>
    <t>Request-0119</t>
  </si>
  <si>
    <t>240619_T病院-149</t>
  </si>
  <si>
    <t>1_25</t>
  </si>
  <si>
    <t>240619_T病院-10</t>
  </si>
  <si>
    <t>2_0085</t>
  </si>
  <si>
    <t>Request-0085</t>
  </si>
  <si>
    <t>240619_T病院-125</t>
  </si>
  <si>
    <t>1_50</t>
  </si>
  <si>
    <t>Request-0050</t>
  </si>
  <si>
    <t>240619_T病院-35</t>
  </si>
  <si>
    <t>2_0053</t>
  </si>
  <si>
    <t>240619_T病院-93</t>
  </si>
  <si>
    <t>1_36</t>
  </si>
  <si>
    <t>240619_T病院-21</t>
  </si>
  <si>
    <t>3_32</t>
  </si>
  <si>
    <t>240117 TAT-18</t>
  </si>
  <si>
    <t>2_0115</t>
  </si>
  <si>
    <t>Request-0115</t>
  </si>
  <si>
    <t>240619_T病院-145</t>
  </si>
  <si>
    <t>2_0061</t>
  </si>
  <si>
    <t>Request-0061</t>
  </si>
  <si>
    <t>240619_T病院-101</t>
  </si>
  <si>
    <t>1_37</t>
  </si>
  <si>
    <t>240619_T病院-22</t>
  </si>
  <si>
    <t>2_0010</t>
  </si>
  <si>
    <t>Request-0010</t>
  </si>
  <si>
    <t>240619_T病院-50</t>
  </si>
  <si>
    <t>2_0062</t>
  </si>
  <si>
    <t>Request-0062</t>
  </si>
  <si>
    <t>240619_T病院-102</t>
  </si>
  <si>
    <t>2_0028</t>
  </si>
  <si>
    <t>240619_T病院-68</t>
  </si>
  <si>
    <t>1_26</t>
  </si>
  <si>
    <t>240619_T病院-11</t>
  </si>
  <si>
    <t>2_0030</t>
  </si>
  <si>
    <t>240619_T病院-70</t>
  </si>
  <si>
    <t>2_0070</t>
  </si>
  <si>
    <t>240619_T病院-110</t>
  </si>
  <si>
    <t>2_0072</t>
  </si>
  <si>
    <t>Request-0072</t>
  </si>
  <si>
    <t>240619_T病院-112</t>
  </si>
  <si>
    <t>2_0077</t>
  </si>
  <si>
    <t>Request-0077</t>
  </si>
  <si>
    <t>240619_T病院-117</t>
  </si>
  <si>
    <t>3_34</t>
  </si>
  <si>
    <t>240117 TAT-20</t>
  </si>
  <si>
    <t>2_0089</t>
  </si>
  <si>
    <t>Request-0089</t>
  </si>
  <si>
    <t>240619_T病院-129</t>
  </si>
  <si>
    <t>3_48</t>
  </si>
  <si>
    <t>240117 TAT-34</t>
  </si>
  <si>
    <t>2_0047</t>
  </si>
  <si>
    <t>240619_T病院-87</t>
  </si>
  <si>
    <t>3_49</t>
  </si>
  <si>
    <t>240117 TAT-35</t>
  </si>
  <si>
    <t>2_0095</t>
  </si>
  <si>
    <t>Request-0095</t>
  </si>
  <si>
    <t>240619_T病院-135</t>
  </si>
  <si>
    <t>2_0084</t>
  </si>
  <si>
    <t>Request-0084</t>
  </si>
  <si>
    <t>240619_T病院-124</t>
  </si>
  <si>
    <t>2_0033</t>
  </si>
  <si>
    <t>240619_T病院-73</t>
  </si>
  <si>
    <t>2_0046</t>
  </si>
  <si>
    <t>240619_T病院-86</t>
  </si>
  <si>
    <t>2_0002</t>
  </si>
  <si>
    <t>Request-0002</t>
  </si>
  <si>
    <t>240619_T病院-42</t>
  </si>
  <si>
    <t>2_0013</t>
  </si>
  <si>
    <t>Request-0013</t>
  </si>
  <si>
    <t>240619_T病院-53</t>
  </si>
  <si>
    <t>1_29</t>
  </si>
  <si>
    <t>240619_T病院-14</t>
  </si>
  <si>
    <t>2_0020</t>
  </si>
  <si>
    <t>Request-0020</t>
  </si>
  <si>
    <t>240619_T病院-60</t>
  </si>
  <si>
    <t>2_0014</t>
  </si>
  <si>
    <t>Request-0014</t>
  </si>
  <si>
    <t>240619_T病院-54</t>
  </si>
  <si>
    <t>2_0114</t>
  </si>
  <si>
    <t>Request-0114</t>
  </si>
  <si>
    <t>240619_T病院-144</t>
  </si>
  <si>
    <t>2_0011</t>
  </si>
  <si>
    <t>Request-0011</t>
  </si>
  <si>
    <t>240619_T病院-51</t>
  </si>
  <si>
    <t>2_0034</t>
  </si>
  <si>
    <t>240619_T病院-74</t>
  </si>
  <si>
    <t>2_0027</t>
  </si>
  <si>
    <t>240619_T病院-67</t>
  </si>
  <si>
    <t>1_49</t>
  </si>
  <si>
    <t>240619_T病院-34</t>
  </si>
  <si>
    <t>2_0031</t>
  </si>
  <si>
    <t>Request-0031</t>
  </si>
  <si>
    <t>240619_T病院-71</t>
  </si>
  <si>
    <t>1_42</t>
  </si>
  <si>
    <t>Request-0042</t>
  </si>
  <si>
    <t>240619_T病院-27</t>
  </si>
  <si>
    <t>3_52</t>
  </si>
  <si>
    <t>240117 TAT-38</t>
  </si>
  <si>
    <t>2_0091</t>
  </si>
  <si>
    <t>Request-0091</t>
  </si>
  <si>
    <t>240619_T病院-131</t>
  </si>
  <si>
    <t>2_0003</t>
  </si>
  <si>
    <t>Request-0003</t>
  </si>
  <si>
    <t>240619_T病院-43</t>
  </si>
  <si>
    <t>2_0059</t>
  </si>
  <si>
    <t>Request-0059</t>
  </si>
  <si>
    <t>240619_T病院-99</t>
  </si>
  <si>
    <t>2_0039</t>
  </si>
  <si>
    <t>240619_T病院-79</t>
  </si>
  <si>
    <t>2_0111</t>
  </si>
  <si>
    <t>Request-0111</t>
  </si>
  <si>
    <t>240619_T病院-141</t>
  </si>
  <si>
    <t>1_31</t>
  </si>
  <si>
    <t>240619_T病院-16</t>
  </si>
  <si>
    <t>2_0112</t>
  </si>
  <si>
    <t>Request-0112</t>
  </si>
  <si>
    <t>240619_T病院-142</t>
  </si>
  <si>
    <t>2_0012</t>
  </si>
  <si>
    <t>Request-0012</t>
  </si>
  <si>
    <t>240619_T病院-52</t>
  </si>
  <si>
    <t>2_0099</t>
  </si>
  <si>
    <t>Request-0099</t>
  </si>
  <si>
    <t>240619_T病院-139</t>
  </si>
  <si>
    <t>2_0083</t>
  </si>
  <si>
    <t>Request-0083</t>
  </si>
  <si>
    <t>240619_T病院-123</t>
  </si>
  <si>
    <t>2_0060</t>
  </si>
  <si>
    <t>Request-0060</t>
  </si>
  <si>
    <t>240619_T病院-100</t>
  </si>
  <si>
    <t>1_17</t>
  </si>
  <si>
    <t>240619_T病院-2</t>
  </si>
  <si>
    <t>2_0074</t>
  </si>
  <si>
    <t>Request-0074</t>
  </si>
  <si>
    <t>240619_T病院-114</t>
  </si>
  <si>
    <t>2_0117</t>
  </si>
  <si>
    <t>Request-0117</t>
  </si>
  <si>
    <t>240619_T病院-147</t>
  </si>
  <si>
    <t>3_38</t>
  </si>
  <si>
    <t>240117 TAT-24</t>
  </si>
  <si>
    <t>1_20</t>
  </si>
  <si>
    <t>240619_T病院-5</t>
  </si>
  <si>
    <t>1_19</t>
  </si>
  <si>
    <t>240619_T病院-4</t>
  </si>
  <si>
    <t>2_0018</t>
  </si>
  <si>
    <t>240619_T病院-58</t>
  </si>
  <si>
    <t>2_0044</t>
  </si>
  <si>
    <t>240619_T病院-84</t>
  </si>
  <si>
    <t>2_0056</t>
  </si>
  <si>
    <t>240619_T病院-96</t>
  </si>
  <si>
    <t>2_0069</t>
  </si>
  <si>
    <t>Request-0069</t>
  </si>
  <si>
    <t>240619_T病院-109</t>
  </si>
  <si>
    <t>2_0092</t>
  </si>
  <si>
    <t>Request-0092</t>
  </si>
  <si>
    <t>240619_T病院-132</t>
  </si>
  <si>
    <t>2_0097</t>
  </si>
  <si>
    <t>Request-0097</t>
  </si>
  <si>
    <t>240619_T病院-137</t>
  </si>
  <si>
    <t>2_0118</t>
  </si>
  <si>
    <t>Request-0118</t>
  </si>
  <si>
    <t>240619_T病院-148</t>
  </si>
  <si>
    <t>3_41</t>
  </si>
  <si>
    <t>240117 TAT-27</t>
  </si>
  <si>
    <t>3_59</t>
  </si>
  <si>
    <t>240117 TAT-45</t>
  </si>
  <si>
    <t>2_0038</t>
  </si>
  <si>
    <t>240619_T病院-78</t>
  </si>
  <si>
    <t>2_0006</t>
  </si>
  <si>
    <t>Request-0006</t>
  </si>
  <si>
    <t>240619_T病院-46</t>
  </si>
  <si>
    <t>3_73</t>
  </si>
  <si>
    <t>240117 TAT-6</t>
  </si>
  <si>
    <t>2_0080</t>
  </si>
  <si>
    <t>Request-0080</t>
  </si>
  <si>
    <t>240619_T病院-120</t>
  </si>
  <si>
    <t>2_0075</t>
  </si>
  <si>
    <t>Request-0075</t>
  </si>
  <si>
    <t>240619_T病院-115</t>
  </si>
  <si>
    <t>2_0078</t>
  </si>
  <si>
    <t>Request-0078</t>
  </si>
  <si>
    <t>240619_T病院-118</t>
  </si>
  <si>
    <t>1_51</t>
  </si>
  <si>
    <t>240619_T病院-36</t>
  </si>
  <si>
    <t>1_45</t>
  </si>
  <si>
    <t>240619_T病院-30</t>
  </si>
  <si>
    <t>3_57</t>
  </si>
  <si>
    <t>240117 TAT-43</t>
  </si>
  <si>
    <t>3_72</t>
  </si>
  <si>
    <t>240117 TAT-5</t>
  </si>
  <si>
    <t>2_0094</t>
  </si>
  <si>
    <t>Request-0094</t>
  </si>
  <si>
    <t>240619_T病院-134</t>
  </si>
  <si>
    <t>1_55</t>
  </si>
  <si>
    <t>240619_T病院-40</t>
  </si>
  <si>
    <t>2_0088</t>
  </si>
  <si>
    <t>Request-0088</t>
  </si>
  <si>
    <t>240619_T病院-128</t>
  </si>
  <si>
    <t>2_0079</t>
  </si>
  <si>
    <t>Request-0079</t>
  </si>
  <si>
    <t>240619_T病院-119</t>
  </si>
  <si>
    <t>2_0076</t>
  </si>
  <si>
    <t>Request-0076</t>
  </si>
  <si>
    <t>240619_T病院-116</t>
  </si>
  <si>
    <t>3_50</t>
  </si>
  <si>
    <t>240117 TAT-36</t>
  </si>
  <si>
    <t>2_0066</t>
  </si>
  <si>
    <t>240619_T病院-106</t>
  </si>
  <si>
    <t>2_0100</t>
  </si>
  <si>
    <t>Request-0100</t>
  </si>
  <si>
    <t>240619_T病院-140</t>
  </si>
  <si>
    <t>2_0086</t>
  </si>
  <si>
    <t>Request-0086</t>
  </si>
  <si>
    <t>240619_T病院-126</t>
  </si>
  <si>
    <t>2_0055</t>
  </si>
  <si>
    <t>240619_T病院-95</t>
  </si>
  <si>
    <t>2_0050</t>
  </si>
  <si>
    <t>240619_T病院-90</t>
  </si>
  <si>
    <t>2_0067</t>
  </si>
  <si>
    <t>240619_T病院-107</t>
  </si>
  <si>
    <t>3_71</t>
  </si>
  <si>
    <t>Request-0071</t>
  </si>
  <si>
    <t>240117 TAT-4</t>
  </si>
  <si>
    <t>2_0082</t>
  </si>
  <si>
    <t>Request-0082</t>
  </si>
  <si>
    <t>240619_T病院-122</t>
  </si>
  <si>
    <t>3_37</t>
  </si>
  <si>
    <t>240117 TAT-23</t>
  </si>
  <si>
    <t>2_0071</t>
  </si>
  <si>
    <t>240619_T病院-111</t>
  </si>
  <si>
    <t>2_0042</t>
  </si>
  <si>
    <t>240619_T病院-82</t>
  </si>
  <si>
    <t>3_44</t>
  </si>
  <si>
    <t>240117 TAT-30</t>
  </si>
  <si>
    <t>3_40</t>
  </si>
  <si>
    <t>240117 TAT-26</t>
  </si>
  <si>
    <t>2_0096</t>
  </si>
  <si>
    <t>Request-0096</t>
  </si>
  <si>
    <t>240619_T病院-136</t>
  </si>
  <si>
    <t>3_36</t>
  </si>
  <si>
    <t>240117 TAT-22</t>
  </si>
  <si>
    <t>2_0090</t>
  </si>
  <si>
    <t>Request-0090</t>
  </si>
  <si>
    <t>240619_T病院-130</t>
  </si>
  <si>
    <t>3_74</t>
  </si>
  <si>
    <t>240117 TAT-7</t>
  </si>
  <si>
    <t>3_31</t>
  </si>
  <si>
    <t>240117 TAT-17</t>
  </si>
  <si>
    <t>3_76</t>
  </si>
  <si>
    <t>240117 TAT-9</t>
  </si>
  <si>
    <t>3_75</t>
  </si>
  <si>
    <t>240117 TAT-8</t>
  </si>
  <si>
    <t>2_0007</t>
  </si>
  <si>
    <t>Request-0007</t>
  </si>
  <si>
    <t>240619_T病院-47</t>
  </si>
  <si>
    <t>3_45</t>
  </si>
  <si>
    <t>240117 TAT-31</t>
  </si>
  <si>
    <t>3_35</t>
  </si>
  <si>
    <t>240117 TAT-21</t>
  </si>
  <si>
    <t>3_68</t>
  </si>
  <si>
    <t>Request-0068</t>
  </si>
  <si>
    <t>240117 TAT-1</t>
  </si>
  <si>
    <t>2_0008</t>
  </si>
  <si>
    <t>Request-0008</t>
  </si>
  <si>
    <t>240619_T病院-48</t>
  </si>
  <si>
    <t>2_0081</t>
  </si>
  <si>
    <t>Request-0081</t>
  </si>
  <si>
    <t>240619_T病院-121</t>
  </si>
  <si>
    <t>2_0065</t>
  </si>
  <si>
    <t>240619_T病院-105</t>
  </si>
  <si>
    <t>3_82</t>
  </si>
  <si>
    <t>240117 TAT-15</t>
  </si>
  <si>
    <t>1_21</t>
  </si>
  <si>
    <t>240619_T病院-6</t>
  </si>
  <si>
    <t>3_30</t>
  </si>
  <si>
    <t>240117 TAT-16</t>
  </si>
  <si>
    <t>2_0098</t>
  </si>
  <si>
    <t>Request-0098</t>
  </si>
  <si>
    <t>240619_T病院-138</t>
  </si>
  <si>
    <t>3_81</t>
  </si>
  <si>
    <t>240117 TAT-14</t>
  </si>
  <si>
    <t>3_43</t>
  </si>
  <si>
    <t>240117 TAT-29</t>
  </si>
  <si>
    <t>2_0041</t>
  </si>
  <si>
    <t>240619_T病院-81</t>
  </si>
  <si>
    <t>2_0054</t>
  </si>
  <si>
    <t>240619_T病院-94</t>
  </si>
  <si>
    <t>3_77</t>
  </si>
  <si>
    <t>240117 TAT-10</t>
  </si>
  <si>
    <t>2_0116</t>
  </si>
  <si>
    <t>Request-0116</t>
  </si>
  <si>
    <t>240619_T病院-146</t>
  </si>
  <si>
    <t>4-10/2-8</t>
    <phoneticPr fontId="1"/>
  </si>
  <si>
    <t>6-12/2-8</t>
    <phoneticPr fontId="1"/>
  </si>
  <si>
    <t>8-14/2-8</t>
    <phoneticPr fontId="1"/>
  </si>
  <si>
    <t>10-16/2-8</t>
    <phoneticPr fontId="1"/>
  </si>
  <si>
    <t>12-18/2-8</t>
    <phoneticPr fontId="1"/>
  </si>
  <si>
    <t>14-20/2-8</t>
    <phoneticPr fontId="1"/>
  </si>
  <si>
    <t>SampleType</t>
    <phoneticPr fontId="1"/>
  </si>
  <si>
    <t>SAMPLE</t>
    <phoneticPr fontId="1"/>
  </si>
  <si>
    <t>TAT1装置生データ</t>
    <rPh sb="4" eb="6">
      <t>ソウチ</t>
    </rPh>
    <rPh sb="6" eb="7">
      <t>ナマ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</si>
</sst>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"/>
  </numFmts>
  <fonts count="3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11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2" fontId="0" fillId="0" borderId="2" xfId="0" applyNumberFormat="1" applyBorder="1">
      <alignment vertical="center"/>
    </xf>
    <xf numFmtId="2" fontId="0" fillId="0" borderId="3" xfId="0" applyNumberFormat="1" applyBorder="1">
      <alignment vertical="center"/>
    </xf>
    <xf numFmtId="2" fontId="0" fillId="0" borderId="0" xfId="0" applyNumberFormat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2" fontId="0" fillId="0" borderId="5" xfId="0" applyNumberFormat="1" applyBorder="1">
      <alignment vertical="center"/>
    </xf>
    <xf numFmtId="2" fontId="0" fillId="0" borderId="6" xfId="0" applyNumberFormat="1" applyBorder="1">
      <alignment vertical="center"/>
    </xf>
    <xf numFmtId="2" fontId="0" fillId="0" borderId="4" xfId="0" applyNumberFormat="1" applyBorder="1">
      <alignment vertical="center"/>
    </xf>
    <xf numFmtId="2" fontId="0" fillId="0" borderId="7" xfId="0" applyNumberFormat="1" applyBorder="1">
      <alignment vertical="center"/>
    </xf>
    <xf numFmtId="2" fontId="0" fillId="0" borderId="8" xfId="0" applyNumberFormat="1" applyBorder="1">
      <alignment vertical="center"/>
    </xf>
    <xf numFmtId="2" fontId="0" fillId="0" borderId="9" xfId="0" applyNumberFormat="1" applyBorder="1">
      <alignment vertical="center"/>
    </xf>
    <xf numFmtId="2" fontId="0" fillId="0" borderId="10" xfId="0" applyNumberFormat="1" applyBorder="1">
      <alignment vertical="center"/>
    </xf>
    <xf numFmtId="2" fontId="0" fillId="0" borderId="11" xfId="0" applyNumberFormat="1" applyBorder="1">
      <alignment vertical="center"/>
    </xf>
    <xf numFmtId="2" fontId="0" fillId="0" borderId="12" xfId="0" applyNumberFormat="1" applyBorder="1">
      <alignment vertical="center"/>
    </xf>
    <xf numFmtId="176" fontId="2" fillId="0" borderId="0" xfId="0" applyNumberFormat="1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D2769-0031-459A-9533-745D086EDB4A}">
  <dimension ref="A1:AC193"/>
  <sheetViews>
    <sheetView tabSelected="1" zoomScale="49" zoomScaleNormal="43" workbookViewId="0">
      <selection activeCell="H2" sqref="H2"/>
    </sheetView>
  </sheetViews>
  <sheetFormatPr defaultRowHeight="15" x14ac:dyDescent="0.3"/>
  <cols>
    <col min="3" max="3" width="16.90625" bestFit="1" customWidth="1"/>
    <col min="5" max="5" width="13.6328125" bestFit="1" customWidth="1"/>
    <col min="6" max="6" width="24" bestFit="1" customWidth="1"/>
    <col min="7" max="7" width="24" customWidth="1"/>
    <col min="8" max="8" width="22.6328125" bestFit="1" customWidth="1"/>
    <col min="9" max="15" width="13.26953125" customWidth="1"/>
    <col min="16" max="23" width="14.54296875" customWidth="1"/>
    <col min="24" max="28" width="16.1796875" customWidth="1"/>
    <col min="29" max="29" width="14.54296875" customWidth="1"/>
  </cols>
  <sheetData>
    <row r="1" spans="1:29" s="1" customFormat="1" ht="15.6" thickBot="1" x14ac:dyDescent="0.3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518</v>
      </c>
      <c r="H1" s="2" t="s">
        <v>520</v>
      </c>
      <c r="I1" s="2" t="s">
        <v>0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512</v>
      </c>
      <c r="Y1" s="1" t="s">
        <v>513</v>
      </c>
      <c r="Z1" s="1" t="s">
        <v>514</v>
      </c>
      <c r="AA1" s="1" t="s">
        <v>515</v>
      </c>
      <c r="AB1" s="1" t="s">
        <v>516</v>
      </c>
      <c r="AC1" s="1" t="s">
        <v>517</v>
      </c>
    </row>
    <row r="2" spans="1:29" ht="15.6" thickTop="1" x14ac:dyDescent="0.3">
      <c r="A2">
        <v>3</v>
      </c>
      <c r="B2" t="s">
        <v>21</v>
      </c>
      <c r="C2" t="s">
        <v>22</v>
      </c>
      <c r="D2">
        <v>70</v>
      </c>
      <c r="E2" t="s">
        <v>23</v>
      </c>
      <c r="F2" t="s">
        <v>24</v>
      </c>
      <c r="G2" t="s">
        <v>519</v>
      </c>
      <c r="H2" s="4">
        <v>4.2</v>
      </c>
      <c r="I2" s="5">
        <v>2.3879999999999999</v>
      </c>
      <c r="J2" s="6">
        <v>3.1269999999999998</v>
      </c>
      <c r="K2" s="7">
        <v>3.004</v>
      </c>
      <c r="L2" s="6">
        <v>3.5209999999999999</v>
      </c>
      <c r="M2" s="7">
        <v>3.8620000000000001</v>
      </c>
      <c r="N2" s="6">
        <v>3.7949999999999999</v>
      </c>
      <c r="O2" s="7">
        <v>4.218</v>
      </c>
      <c r="P2" s="3">
        <f>AVERAGE(I2:O2)</f>
        <v>3.4164285714285714</v>
      </c>
      <c r="Q2" s="3">
        <f>MAX(I2:O2)</f>
        <v>4.218</v>
      </c>
      <c r="R2" s="3">
        <f>MIN(I2:O2)</f>
        <v>2.3879999999999999</v>
      </c>
      <c r="S2" s="3">
        <f>Q2-R2</f>
        <v>1.83</v>
      </c>
      <c r="T2" s="3" cm="1">
        <f t="array" ref="T2">MAX((TRANSPOSE(I2:O2)-I2:O2)/I2:O2)</f>
        <v>0.76633165829145733</v>
      </c>
      <c r="U2" s="3" cm="1">
        <f t="array" ref="U2">MAX((J2:O2-I2:N2)/I2:N2)</f>
        <v>0.30946398659966495</v>
      </c>
      <c r="V2" s="3" cm="1">
        <f t="array" ref="V2">MIN((TRANSPOSE(I2:O2)-I2:O2)/I2:O2)</f>
        <v>-0.4338549075391181</v>
      </c>
      <c r="W2" s="3" cm="1">
        <f t="array" ref="W2">MIN((J2:O2-I2:N2)/I2:N2)</f>
        <v>-3.9334825711544542E-2</v>
      </c>
      <c r="X2" s="3">
        <v>1.3094639865996649</v>
      </c>
      <c r="Y2" s="3">
        <v>1.2579564489112229</v>
      </c>
      <c r="Z2" s="3">
        <v>1.4744556113902847</v>
      </c>
      <c r="AA2" s="3">
        <v>1.6172529313232833</v>
      </c>
      <c r="AB2" s="3">
        <v>1.5891959798994975</v>
      </c>
      <c r="AC2" s="3">
        <f t="shared" ref="AC2:AC33" si="0">O2/I2</f>
        <v>1.7663316582914574</v>
      </c>
    </row>
    <row r="3" spans="1:29" x14ac:dyDescent="0.3">
      <c r="A3">
        <v>2</v>
      </c>
      <c r="B3" t="s">
        <v>25</v>
      </c>
      <c r="C3" t="s">
        <v>26</v>
      </c>
      <c r="D3">
        <v>120</v>
      </c>
      <c r="E3" t="s">
        <v>27</v>
      </c>
      <c r="F3" t="s">
        <v>28</v>
      </c>
      <c r="G3" t="s">
        <v>519</v>
      </c>
      <c r="H3" s="4">
        <v>2.4</v>
      </c>
      <c r="I3" s="5">
        <v>3.8479999999999999</v>
      </c>
      <c r="J3" s="6">
        <v>3.6989999999999998</v>
      </c>
      <c r="K3" s="7">
        <v>2.879</v>
      </c>
      <c r="L3" s="6">
        <v>2.6040000000000001</v>
      </c>
      <c r="M3" s="7">
        <v>2.2450000000000001</v>
      </c>
      <c r="N3" s="6">
        <v>2.08</v>
      </c>
      <c r="O3" s="7">
        <v>2.093</v>
      </c>
      <c r="P3" s="3">
        <f t="shared" ref="P3:P66" si="1">AVERAGE(I3:O3)</f>
        <v>2.7782857142857149</v>
      </c>
      <c r="Q3" s="3">
        <f t="shared" ref="Q3:Q66" si="2">MAX(I3:O3)</f>
        <v>3.8479999999999999</v>
      </c>
      <c r="R3" s="3">
        <f t="shared" ref="R3:R66" si="3">MIN(I3:O3)</f>
        <v>2.08</v>
      </c>
      <c r="S3" s="3">
        <f t="shared" ref="S3:S66" si="4">Q3-R3</f>
        <v>1.7679999999999998</v>
      </c>
      <c r="T3" s="3" cm="1">
        <f t="array" ref="T3">MAX((TRANSPOSE(I3:O3)-I3:O3)/I3:O3)</f>
        <v>0.84999999999999987</v>
      </c>
      <c r="U3" s="3" cm="1">
        <f t="array" ref="U3">MAX((J3:O3-I3:N3)/I3:N3)</f>
        <v>6.2499999999999518E-3</v>
      </c>
      <c r="V3" s="3" cm="1">
        <f t="array" ref="V3">MIN((TRANSPOSE(I3:O3)-I3:O3)/I3:O3)</f>
        <v>-0.45945945945945943</v>
      </c>
      <c r="W3" s="3" cm="1">
        <f t="array" ref="W3">MIN((J3:O3-I3:N3)/I3:N3)</f>
        <v>-0.22168153555014866</v>
      </c>
      <c r="X3" s="3">
        <v>0.96127858627858631</v>
      </c>
      <c r="Y3" s="3">
        <v>0.74818087318087323</v>
      </c>
      <c r="Z3" s="3">
        <v>0.67671517671517678</v>
      </c>
      <c r="AA3" s="3">
        <v>0.58341995841995842</v>
      </c>
      <c r="AB3" s="3">
        <v>0.54054054054054057</v>
      </c>
      <c r="AC3" s="3">
        <f t="shared" si="0"/>
        <v>0.54391891891891897</v>
      </c>
    </row>
    <row r="4" spans="1:29" x14ac:dyDescent="0.3">
      <c r="A4">
        <v>3</v>
      </c>
      <c r="B4" t="s">
        <v>21</v>
      </c>
      <c r="C4" t="s">
        <v>29</v>
      </c>
      <c r="D4">
        <v>53</v>
      </c>
      <c r="E4" t="s">
        <v>30</v>
      </c>
      <c r="F4" t="s">
        <v>31</v>
      </c>
      <c r="G4" t="s">
        <v>519</v>
      </c>
      <c r="H4" s="4">
        <v>33.9</v>
      </c>
      <c r="I4" s="5">
        <v>100.25700000000001</v>
      </c>
      <c r="J4" s="6">
        <v>66.123000000000005</v>
      </c>
      <c r="K4" s="7">
        <v>55.156999999999996</v>
      </c>
      <c r="L4" s="6">
        <v>42.514000000000003</v>
      </c>
      <c r="M4" s="7">
        <v>40.923000000000002</v>
      </c>
      <c r="N4" s="6">
        <v>33.274999999999999</v>
      </c>
      <c r="O4" s="7">
        <v>29.148</v>
      </c>
      <c r="P4" s="3">
        <f t="shared" si="1"/>
        <v>52.485285714285716</v>
      </c>
      <c r="Q4" s="3">
        <f t="shared" si="2"/>
        <v>100.25700000000001</v>
      </c>
      <c r="R4" s="3">
        <f t="shared" si="3"/>
        <v>29.148</v>
      </c>
      <c r="S4" s="3">
        <f t="shared" si="4"/>
        <v>71.109000000000009</v>
      </c>
      <c r="T4" s="3" cm="1">
        <f t="array" ref="T4">MAX((TRANSPOSE(I4:O4)-I4:O4)/I4:O4)</f>
        <v>2.4395841910251135</v>
      </c>
      <c r="U4" s="3" cm="1">
        <f t="array" ref="U4">MAX((J4:O4-I4:N4)/I4:N4)</f>
        <v>-3.7422966552194591E-2</v>
      </c>
      <c r="V4" s="3" cm="1">
        <f t="array" ref="V4">MIN((TRANSPOSE(I4:O4)-I4:O4)/I4:O4)</f>
        <v>-0.70926718333881933</v>
      </c>
      <c r="W4" s="3" cm="1">
        <f t="array" ref="W4">MIN((J4:O4-I4:N4)/I4:N4)</f>
        <v>-0.34046500493731108</v>
      </c>
      <c r="X4" s="3">
        <v>0.65953499506268887</v>
      </c>
      <c r="Y4" s="3">
        <v>0.55015609882601713</v>
      </c>
      <c r="Z4" s="3">
        <v>0.42405019100910663</v>
      </c>
      <c r="AA4" s="3">
        <v>0.4081809748945211</v>
      </c>
      <c r="AB4" s="3">
        <v>0.33189702464665805</v>
      </c>
      <c r="AC4" s="3">
        <f t="shared" si="0"/>
        <v>0.29073281666118073</v>
      </c>
    </row>
    <row r="5" spans="1:29" x14ac:dyDescent="0.3">
      <c r="A5">
        <v>2</v>
      </c>
      <c r="B5" t="s">
        <v>25</v>
      </c>
      <c r="C5" t="s">
        <v>32</v>
      </c>
      <c r="D5">
        <v>25</v>
      </c>
      <c r="E5" t="s">
        <v>33</v>
      </c>
      <c r="F5" t="s">
        <v>34</v>
      </c>
      <c r="G5" t="s">
        <v>519</v>
      </c>
      <c r="H5" s="4">
        <v>4.5</v>
      </c>
      <c r="I5" s="5">
        <v>10.3</v>
      </c>
      <c r="J5" s="6">
        <v>8.07</v>
      </c>
      <c r="K5" s="7">
        <v>5.8760000000000003</v>
      </c>
      <c r="L5" s="6">
        <v>4.91</v>
      </c>
      <c r="M5" s="7">
        <v>4.4610000000000003</v>
      </c>
      <c r="N5" s="6">
        <v>4.1130000000000004</v>
      </c>
      <c r="O5" s="7">
        <v>4.1520000000000001</v>
      </c>
      <c r="P5" s="3">
        <f t="shared" si="1"/>
        <v>5.983142857142858</v>
      </c>
      <c r="Q5" s="3">
        <f t="shared" si="2"/>
        <v>10.3</v>
      </c>
      <c r="R5" s="3">
        <f t="shared" si="3"/>
        <v>4.1130000000000004</v>
      </c>
      <c r="S5" s="3">
        <f t="shared" si="4"/>
        <v>6.1870000000000003</v>
      </c>
      <c r="T5" s="3" cm="1">
        <f t="array" ref="T5">MAX((TRANSPOSE(I5:O5)-I5:O5)/I5:O5)</f>
        <v>1.5042548018477995</v>
      </c>
      <c r="U5" s="3" cm="1">
        <f t="array" ref="U5">MAX((J5:O5-I5:N5)/I5:N5)</f>
        <v>9.4821298322391671E-3</v>
      </c>
      <c r="V5" s="3" cm="1">
        <f t="array" ref="V5">MIN((TRANSPOSE(I5:O5)-I5:O5)/I5:O5)</f>
        <v>-0.60067961165048545</v>
      </c>
      <c r="W5" s="3" cm="1">
        <f t="array" ref="W5">MIN((J5:O5-I5:N5)/I5:N5)</f>
        <v>-0.27187112763320942</v>
      </c>
      <c r="X5" s="3">
        <v>0.78349514563106792</v>
      </c>
      <c r="Y5" s="3">
        <v>0.57048543689320386</v>
      </c>
      <c r="Z5" s="3">
        <v>0.47669902912621359</v>
      </c>
      <c r="AA5" s="3">
        <v>0.43310679611650488</v>
      </c>
      <c r="AB5" s="3">
        <v>0.39932038834951455</v>
      </c>
      <c r="AC5" s="3">
        <f t="shared" si="0"/>
        <v>0.40310679611650485</v>
      </c>
    </row>
    <row r="6" spans="1:29" x14ac:dyDescent="0.3">
      <c r="A6">
        <v>1</v>
      </c>
      <c r="B6" t="s">
        <v>35</v>
      </c>
      <c r="C6" t="s">
        <v>36</v>
      </c>
      <c r="D6">
        <v>27</v>
      </c>
      <c r="E6" t="s">
        <v>37</v>
      </c>
      <c r="F6" t="s">
        <v>38</v>
      </c>
      <c r="G6" t="s">
        <v>519</v>
      </c>
      <c r="H6" s="4">
        <v>4.5999999999999996</v>
      </c>
      <c r="I6" s="5">
        <v>8.3000000000000007</v>
      </c>
      <c r="J6" s="6">
        <v>5.3739999999999997</v>
      </c>
      <c r="K6" s="7">
        <v>4.6840000000000002</v>
      </c>
      <c r="L6" s="6">
        <v>4.5030000000000001</v>
      </c>
      <c r="M6" s="7">
        <v>4.5199999999999996</v>
      </c>
      <c r="N6" s="6">
        <v>4.3029999999999999</v>
      </c>
      <c r="O6" s="7">
        <v>4.351</v>
      </c>
      <c r="P6" s="3">
        <f t="shared" si="1"/>
        <v>5.1478571428571431</v>
      </c>
      <c r="Q6" s="3">
        <f t="shared" si="2"/>
        <v>8.3000000000000007</v>
      </c>
      <c r="R6" s="3">
        <f t="shared" si="3"/>
        <v>4.3029999999999999</v>
      </c>
      <c r="S6" s="3">
        <f t="shared" si="4"/>
        <v>3.9970000000000008</v>
      </c>
      <c r="T6" s="3" cm="1">
        <f t="array" ref="T6">MAX((TRANSPOSE(I6:O6)-I6:O6)/I6:O6)</f>
        <v>0.92888682314664206</v>
      </c>
      <c r="U6" s="3" cm="1">
        <f t="array" ref="U6">MAX((J6:O6-I6:N6)/I6:N6)</f>
        <v>1.1155008133860108E-2</v>
      </c>
      <c r="V6" s="3" cm="1">
        <f t="array" ref="V6">MIN((TRANSPOSE(I6:O6)-I6:O6)/I6:O6)</f>
        <v>-0.48156626506024103</v>
      </c>
      <c r="W6" s="3" cm="1">
        <f t="array" ref="W6">MIN((J6:O6-I6:N6)/I6:N6)</f>
        <v>-0.35253012048192783</v>
      </c>
      <c r="X6" s="3">
        <v>0.64746987951807222</v>
      </c>
      <c r="Y6" s="3">
        <v>0.56433734939759028</v>
      </c>
      <c r="Z6" s="3">
        <v>0.54253012048192772</v>
      </c>
      <c r="AA6" s="3">
        <v>0.54457831325301198</v>
      </c>
      <c r="AB6" s="3">
        <v>0.51843373493975897</v>
      </c>
      <c r="AC6" s="3">
        <f t="shared" si="0"/>
        <v>0.5242168674698795</v>
      </c>
    </row>
    <row r="7" spans="1:29" x14ac:dyDescent="0.3">
      <c r="A7">
        <v>2</v>
      </c>
      <c r="B7" t="s">
        <v>25</v>
      </c>
      <c r="C7" t="s">
        <v>39</v>
      </c>
      <c r="D7">
        <v>23</v>
      </c>
      <c r="E7" t="s">
        <v>40</v>
      </c>
      <c r="F7" t="s">
        <v>41</v>
      </c>
      <c r="G7" t="s">
        <v>519</v>
      </c>
      <c r="H7" s="4">
        <v>4.9000000000000004</v>
      </c>
      <c r="I7" s="5">
        <v>2.8140000000000001</v>
      </c>
      <c r="J7" s="6">
        <v>4.6289999999999996</v>
      </c>
      <c r="K7" s="7">
        <v>3.875</v>
      </c>
      <c r="L7" s="6">
        <v>4.91</v>
      </c>
      <c r="M7" s="7">
        <v>4.4009999999999998</v>
      </c>
      <c r="N7" s="6">
        <v>4.6840000000000002</v>
      </c>
      <c r="O7" s="7">
        <v>5.5650000000000004</v>
      </c>
      <c r="P7" s="3">
        <f t="shared" si="1"/>
        <v>4.4111428571428579</v>
      </c>
      <c r="Q7" s="3">
        <f t="shared" si="2"/>
        <v>5.5650000000000004</v>
      </c>
      <c r="R7" s="3">
        <f t="shared" si="3"/>
        <v>2.8140000000000001</v>
      </c>
      <c r="S7" s="3">
        <f t="shared" si="4"/>
        <v>2.7510000000000003</v>
      </c>
      <c r="T7" s="3" cm="1">
        <f t="array" ref="T7">MAX((TRANSPOSE(I7:O7)-I7:O7)/I7:O7)</f>
        <v>0.97761194029850751</v>
      </c>
      <c r="U7" s="3" cm="1">
        <f t="array" ref="U7">MAX((J7:O7-I7:N7)/I7:N7)</f>
        <v>0.64498933901918953</v>
      </c>
      <c r="V7" s="3" cm="1">
        <f t="array" ref="V7">MIN((TRANSPOSE(I7:O7)-I7:O7)/I7:O7)</f>
        <v>-0.49433962264150944</v>
      </c>
      <c r="W7" s="3" cm="1">
        <f t="array" ref="W7">MIN((J7:O7-I7:N7)/I7:N7)</f>
        <v>-0.16288615251674221</v>
      </c>
      <c r="X7" s="3">
        <v>1.6449893390191896</v>
      </c>
      <c r="Y7" s="3">
        <v>1.3770433546552949</v>
      </c>
      <c r="Z7" s="3">
        <v>1.7448471926083866</v>
      </c>
      <c r="AA7" s="3">
        <v>1.5639658848614071</v>
      </c>
      <c r="AB7" s="3">
        <v>1.6645344705046199</v>
      </c>
      <c r="AC7" s="3">
        <f t="shared" si="0"/>
        <v>1.9776119402985075</v>
      </c>
    </row>
    <row r="8" spans="1:29" x14ac:dyDescent="0.3">
      <c r="A8">
        <v>2</v>
      </c>
      <c r="B8" t="s">
        <v>25</v>
      </c>
      <c r="C8" t="s">
        <v>42</v>
      </c>
      <c r="D8">
        <v>57</v>
      </c>
      <c r="E8" t="s">
        <v>43</v>
      </c>
      <c r="F8" t="s">
        <v>44</v>
      </c>
      <c r="G8" t="s">
        <v>519</v>
      </c>
      <c r="H8" s="4">
        <v>3.9</v>
      </c>
      <c r="I8" s="5">
        <v>3.3610000000000002</v>
      </c>
      <c r="J8" s="6">
        <v>3.9140000000000001</v>
      </c>
      <c r="K8" s="7">
        <v>3.5019999999999998</v>
      </c>
      <c r="L8" s="6">
        <v>3.4550000000000001</v>
      </c>
      <c r="M8" s="7">
        <v>3.2029999999999998</v>
      </c>
      <c r="N8" s="6">
        <v>4.0490000000000004</v>
      </c>
      <c r="O8" s="7">
        <v>4.4180000000000001</v>
      </c>
      <c r="P8" s="3">
        <f t="shared" si="1"/>
        <v>3.7002857142857146</v>
      </c>
      <c r="Q8" s="3">
        <f t="shared" si="2"/>
        <v>4.4180000000000001</v>
      </c>
      <c r="R8" s="3">
        <f t="shared" si="3"/>
        <v>3.2029999999999998</v>
      </c>
      <c r="S8" s="3">
        <f t="shared" si="4"/>
        <v>1.2150000000000003</v>
      </c>
      <c r="T8" s="3" cm="1">
        <f t="array" ref="T8">MAX((TRANSPOSE(I8:O8)-I8:O8)/I8:O8)</f>
        <v>0.37933187636590709</v>
      </c>
      <c r="U8" s="3" cm="1">
        <f t="array" ref="U8">MAX((J8:O8-I8:N8)/I8:N8)</f>
        <v>0.26412738058070578</v>
      </c>
      <c r="V8" s="3" cm="1">
        <f t="array" ref="V8">MIN((TRANSPOSE(I8:O8)-I8:O8)/I8:O8)</f>
        <v>-0.27501131733816214</v>
      </c>
      <c r="W8" s="3" cm="1">
        <f t="array" ref="W8">MIN((J8:O8-I8:N8)/I8:N8)</f>
        <v>-0.10526315789473693</v>
      </c>
      <c r="X8" s="3">
        <v>1.1645343647723891</v>
      </c>
      <c r="Y8" s="3">
        <v>1.0419518000595061</v>
      </c>
      <c r="Z8" s="3">
        <v>1.0279678667063374</v>
      </c>
      <c r="AA8" s="3">
        <v>0.95299018149360304</v>
      </c>
      <c r="AB8" s="3">
        <v>1.2047009818506398</v>
      </c>
      <c r="AC8" s="3">
        <f t="shared" si="0"/>
        <v>1.3144897351978577</v>
      </c>
    </row>
    <row r="9" spans="1:29" x14ac:dyDescent="0.3">
      <c r="A9">
        <v>1</v>
      </c>
      <c r="B9" t="s">
        <v>35</v>
      </c>
      <c r="C9" t="s">
        <v>45</v>
      </c>
      <c r="D9">
        <v>44</v>
      </c>
      <c r="E9" t="s">
        <v>46</v>
      </c>
      <c r="F9" t="s">
        <v>47</v>
      </c>
      <c r="G9" t="s">
        <v>519</v>
      </c>
      <c r="H9" s="4">
        <v>7.4</v>
      </c>
      <c r="I9" s="5">
        <v>15.005000000000001</v>
      </c>
      <c r="J9" s="6">
        <v>10.766999999999999</v>
      </c>
      <c r="K9" s="7">
        <v>8.8480000000000008</v>
      </c>
      <c r="L9" s="6">
        <v>8.9079999999999995</v>
      </c>
      <c r="M9" s="7">
        <v>7.3170000000000002</v>
      </c>
      <c r="N9" s="6">
        <v>6.694</v>
      </c>
      <c r="O9" s="7">
        <v>5.9290000000000003</v>
      </c>
      <c r="P9" s="3">
        <f t="shared" si="1"/>
        <v>9.0668571428571436</v>
      </c>
      <c r="Q9" s="3">
        <f t="shared" si="2"/>
        <v>15.005000000000001</v>
      </c>
      <c r="R9" s="3">
        <f t="shared" si="3"/>
        <v>5.9290000000000003</v>
      </c>
      <c r="S9" s="3">
        <f t="shared" si="4"/>
        <v>9.0760000000000005</v>
      </c>
      <c r="T9" s="3" cm="1">
        <f t="array" ref="T9">MAX((TRANSPOSE(I9:O9)-I9:O9)/I9:O9)</f>
        <v>1.530780907404284</v>
      </c>
      <c r="U9" s="3" cm="1">
        <f t="array" ref="U9">MAX((J9:O9-I9:N9)/I9:N9)</f>
        <v>6.7811934900541045E-3</v>
      </c>
      <c r="V9" s="3" cm="1">
        <f t="array" ref="V9">MIN((TRANSPOSE(I9:O9)-I9:O9)/I9:O9)</f>
        <v>-0.60486504498500504</v>
      </c>
      <c r="W9" s="3" cm="1">
        <f t="array" ref="W9">MIN((J9:O9-I9:N9)/I9:N9)</f>
        <v>-0.28243918693768749</v>
      </c>
      <c r="X9" s="3">
        <v>0.71756081306231245</v>
      </c>
      <c r="Y9" s="3">
        <v>0.58967010996334557</v>
      </c>
      <c r="Z9" s="3">
        <v>0.59366877707430854</v>
      </c>
      <c r="AA9" s="3">
        <v>0.48763745418193932</v>
      </c>
      <c r="AB9" s="3">
        <v>0.44611796067977338</v>
      </c>
      <c r="AC9" s="3">
        <f t="shared" si="0"/>
        <v>0.39513495501499502</v>
      </c>
    </row>
    <row r="10" spans="1:29" x14ac:dyDescent="0.3">
      <c r="A10">
        <v>3</v>
      </c>
      <c r="B10" t="s">
        <v>21</v>
      </c>
      <c r="C10" t="s">
        <v>48</v>
      </c>
      <c r="D10">
        <v>51</v>
      </c>
      <c r="E10" t="s">
        <v>49</v>
      </c>
      <c r="F10" t="s">
        <v>50</v>
      </c>
      <c r="G10" t="s">
        <v>519</v>
      </c>
      <c r="H10" s="4">
        <v>5</v>
      </c>
      <c r="I10" s="5">
        <v>6.3</v>
      </c>
      <c r="J10" s="6">
        <v>7.8460000000000001</v>
      </c>
      <c r="K10" s="7">
        <v>6.1239999999999997</v>
      </c>
      <c r="L10" s="6">
        <v>5.9619999999999997</v>
      </c>
      <c r="M10" s="7">
        <v>4.4610000000000003</v>
      </c>
      <c r="N10" s="6">
        <v>5.2619999999999996</v>
      </c>
      <c r="O10" s="7">
        <v>4.6829999999999998</v>
      </c>
      <c r="P10" s="3">
        <f t="shared" si="1"/>
        <v>5.8054285714285712</v>
      </c>
      <c r="Q10" s="3">
        <f t="shared" si="2"/>
        <v>7.8460000000000001</v>
      </c>
      <c r="R10" s="3">
        <f t="shared" si="3"/>
        <v>4.4610000000000003</v>
      </c>
      <c r="S10" s="3">
        <f t="shared" si="4"/>
        <v>3.3849999999999998</v>
      </c>
      <c r="T10" s="3" cm="1">
        <f t="array" ref="T10">MAX((TRANSPOSE(I10:O10)-I10:O10)/I10:O10)</f>
        <v>0.75879847567809899</v>
      </c>
      <c r="U10" s="3" cm="1">
        <f t="array" ref="U10">MAX((J10:O10-I10:N10)/I10:N10)</f>
        <v>0.24539682539682545</v>
      </c>
      <c r="V10" s="3" cm="1">
        <f t="array" ref="V10">MIN((TRANSPOSE(I10:O10)-I10:O10)/I10:O10)</f>
        <v>-0.43143002803976543</v>
      </c>
      <c r="W10" s="3" cm="1">
        <f t="array" ref="W10">MIN((J10:O10-I10:N10)/I10:N10)</f>
        <v>-0.25176115397517601</v>
      </c>
      <c r="X10" s="3">
        <v>1.2453968253968255</v>
      </c>
      <c r="Y10" s="3">
        <v>0.97206349206349207</v>
      </c>
      <c r="Z10" s="3">
        <v>0.94634920634920638</v>
      </c>
      <c r="AA10" s="3">
        <v>0.70809523809523811</v>
      </c>
      <c r="AB10" s="3">
        <v>0.83523809523809522</v>
      </c>
      <c r="AC10" s="3">
        <f t="shared" si="0"/>
        <v>0.74333333333333329</v>
      </c>
    </row>
    <row r="11" spans="1:29" x14ac:dyDescent="0.3">
      <c r="A11">
        <v>1</v>
      </c>
      <c r="B11" t="s">
        <v>35</v>
      </c>
      <c r="C11" t="s">
        <v>51</v>
      </c>
      <c r="D11">
        <v>32</v>
      </c>
      <c r="E11" t="s">
        <v>52</v>
      </c>
      <c r="F11" t="s">
        <v>53</v>
      </c>
      <c r="G11" t="s">
        <v>519</v>
      </c>
      <c r="H11" s="4">
        <v>2.2000000000000002</v>
      </c>
      <c r="I11" s="5">
        <v>2.266</v>
      </c>
      <c r="J11" s="6">
        <v>2.6269999999999998</v>
      </c>
      <c r="K11" s="7">
        <v>2.194</v>
      </c>
      <c r="L11" s="6">
        <v>2.6040000000000001</v>
      </c>
      <c r="M11" s="7">
        <v>2.0659999999999998</v>
      </c>
      <c r="N11" s="6">
        <v>2.2709999999999999</v>
      </c>
      <c r="O11" s="7">
        <v>1.76</v>
      </c>
      <c r="P11" s="3">
        <f t="shared" si="1"/>
        <v>2.2554285714285713</v>
      </c>
      <c r="Q11" s="3">
        <f t="shared" si="2"/>
        <v>2.6269999999999998</v>
      </c>
      <c r="R11" s="3">
        <f t="shared" si="3"/>
        <v>1.76</v>
      </c>
      <c r="S11" s="3">
        <f t="shared" si="4"/>
        <v>0.86699999999999977</v>
      </c>
      <c r="T11" s="3" cm="1">
        <f t="array" ref="T11">MAX((TRANSPOSE(I11:O11)-I11:O11)/I11:O11)</f>
        <v>0.49261363636363625</v>
      </c>
      <c r="U11" s="3" cm="1">
        <f t="array" ref="U11">MAX((J11:O11-I11:N11)/I11:N11)</f>
        <v>0.18687329079307208</v>
      </c>
      <c r="V11" s="3" cm="1">
        <f t="array" ref="V11">MIN((TRANSPOSE(I11:O11)-I11:O11)/I11:O11)</f>
        <v>-0.33003425961172433</v>
      </c>
      <c r="W11" s="3" cm="1">
        <f t="array" ref="W11">MIN((J11:O11-I11:N11)/I11:N11)</f>
        <v>-0.2250110083663584</v>
      </c>
      <c r="X11" s="3">
        <v>1.1593115622241834</v>
      </c>
      <c r="Y11" s="3">
        <v>0.96822594880847301</v>
      </c>
      <c r="Z11" s="3">
        <v>1.149161518093557</v>
      </c>
      <c r="AA11" s="3">
        <v>0.91173874669020294</v>
      </c>
      <c r="AB11" s="3">
        <v>1.0022065313327448</v>
      </c>
      <c r="AC11" s="3">
        <f t="shared" si="0"/>
        <v>0.77669902912621358</v>
      </c>
    </row>
    <row r="12" spans="1:29" x14ac:dyDescent="0.3">
      <c r="A12">
        <v>1</v>
      </c>
      <c r="B12" t="s">
        <v>35</v>
      </c>
      <c r="C12" t="s">
        <v>54</v>
      </c>
      <c r="D12">
        <v>28</v>
      </c>
      <c r="E12" t="s">
        <v>55</v>
      </c>
      <c r="F12" t="s">
        <v>56</v>
      </c>
      <c r="G12" t="s">
        <v>519</v>
      </c>
      <c r="H12" s="4">
        <v>5.0999999999999996</v>
      </c>
      <c r="I12" s="5">
        <v>3.7869999999999999</v>
      </c>
      <c r="J12" s="6">
        <v>3.7709999999999999</v>
      </c>
      <c r="K12" s="7">
        <v>4.2489999999999997</v>
      </c>
      <c r="L12" s="6">
        <v>4.3070000000000004</v>
      </c>
      <c r="M12" s="7">
        <v>4.58</v>
      </c>
      <c r="N12" s="6">
        <v>4.43</v>
      </c>
      <c r="O12" s="7">
        <v>5.383</v>
      </c>
      <c r="P12" s="3">
        <f t="shared" si="1"/>
        <v>4.3581428571428562</v>
      </c>
      <c r="Q12" s="3">
        <f t="shared" si="2"/>
        <v>5.383</v>
      </c>
      <c r="R12" s="3">
        <f t="shared" si="3"/>
        <v>3.7709999999999999</v>
      </c>
      <c r="S12" s="3">
        <f t="shared" si="4"/>
        <v>1.6120000000000001</v>
      </c>
      <c r="T12" s="3" cm="1">
        <f t="array" ref="T12">MAX((TRANSPOSE(I12:O12)-I12:O12)/I12:O12)</f>
        <v>0.42747281888093347</v>
      </c>
      <c r="U12" s="3" cm="1">
        <f t="array" ref="U12">MAX((J12:O12-I12:N12)/I12:N12)</f>
        <v>0.2151241534988714</v>
      </c>
      <c r="V12" s="3" cm="1">
        <f t="array" ref="V12">MIN((TRANSPOSE(I12:O12)-I12:O12)/I12:O12)</f>
        <v>-0.29946126695151404</v>
      </c>
      <c r="W12" s="3" cm="1">
        <f t="array" ref="W12">MIN((J12:O12-I12:N12)/I12:N12)</f>
        <v>-3.2751091703056845E-2</v>
      </c>
      <c r="X12" s="3">
        <v>0.99577501980459471</v>
      </c>
      <c r="Y12" s="3">
        <v>1.121996303142329</v>
      </c>
      <c r="Z12" s="3">
        <v>1.1373118563506734</v>
      </c>
      <c r="AA12" s="3">
        <v>1.209400580934777</v>
      </c>
      <c r="AB12" s="3">
        <v>1.1697913916028517</v>
      </c>
      <c r="AC12" s="3">
        <f t="shared" si="0"/>
        <v>1.4214417744916821</v>
      </c>
    </row>
    <row r="13" spans="1:29" x14ac:dyDescent="0.3">
      <c r="A13">
        <v>1</v>
      </c>
      <c r="B13" t="s">
        <v>35</v>
      </c>
      <c r="C13" t="s">
        <v>57</v>
      </c>
      <c r="D13">
        <v>30</v>
      </c>
      <c r="E13" t="s">
        <v>58</v>
      </c>
      <c r="F13" t="s">
        <v>59</v>
      </c>
      <c r="G13" t="s">
        <v>519</v>
      </c>
      <c r="H13" s="4">
        <v>2.2999999999999998</v>
      </c>
      <c r="I13" s="5">
        <v>2.206</v>
      </c>
      <c r="J13" s="6">
        <v>2.4129999999999998</v>
      </c>
      <c r="K13" s="7">
        <v>1.4470000000000001</v>
      </c>
      <c r="L13" s="6">
        <v>2.0139999999999998</v>
      </c>
      <c r="M13" s="7">
        <v>1.8859999999999999</v>
      </c>
      <c r="N13" s="6">
        <v>2.2709999999999999</v>
      </c>
      <c r="O13" s="7">
        <v>2.2250000000000001</v>
      </c>
      <c r="P13" s="3">
        <f t="shared" si="1"/>
        <v>2.0659999999999998</v>
      </c>
      <c r="Q13" s="3">
        <f t="shared" si="2"/>
        <v>2.4129999999999998</v>
      </c>
      <c r="R13" s="3">
        <f t="shared" si="3"/>
        <v>1.4470000000000001</v>
      </c>
      <c r="S13" s="3">
        <f t="shared" si="4"/>
        <v>0.96599999999999975</v>
      </c>
      <c r="T13" s="3" cm="1">
        <f t="array" ref="T13">MAX((TRANSPOSE(I13:O13)-I13:O13)/I13:O13)</f>
        <v>0.66758811333794033</v>
      </c>
      <c r="U13" s="3" cm="1">
        <f t="array" ref="U13">MAX((J13:O13-I13:N13)/I13:N13)</f>
        <v>0.39184519695922576</v>
      </c>
      <c r="V13" s="3" cm="1">
        <f t="array" ref="V13">MIN((TRANSPOSE(I13:O13)-I13:O13)/I13:O13)</f>
        <v>-0.40033153750518019</v>
      </c>
      <c r="W13" s="3" cm="1">
        <f t="array" ref="W13">MIN((J13:O13-I13:N13)/I13:N13)</f>
        <v>-0.40033153750518019</v>
      </c>
      <c r="X13" s="3">
        <v>1.0938349954669084</v>
      </c>
      <c r="Y13" s="3">
        <v>0.65593834995466915</v>
      </c>
      <c r="Z13" s="3">
        <v>0.91296464188576598</v>
      </c>
      <c r="AA13" s="3">
        <v>0.85494106980961015</v>
      </c>
      <c r="AB13" s="3">
        <v>1.0294650951949229</v>
      </c>
      <c r="AC13" s="3">
        <f t="shared" si="0"/>
        <v>1.0086128739800544</v>
      </c>
    </row>
    <row r="14" spans="1:29" x14ac:dyDescent="0.3">
      <c r="A14">
        <v>1</v>
      </c>
      <c r="B14" t="s">
        <v>35</v>
      </c>
      <c r="C14" t="s">
        <v>60</v>
      </c>
      <c r="D14">
        <v>33</v>
      </c>
      <c r="E14" t="s">
        <v>61</v>
      </c>
      <c r="F14" t="s">
        <v>62</v>
      </c>
      <c r="G14" t="s">
        <v>519</v>
      </c>
      <c r="H14" s="4">
        <v>5.8</v>
      </c>
      <c r="I14" s="5">
        <v>4.335</v>
      </c>
      <c r="J14" s="6">
        <v>6.2729999999999997</v>
      </c>
      <c r="K14" s="7">
        <v>4.4349999999999996</v>
      </c>
      <c r="L14" s="6">
        <v>5.1210000000000004</v>
      </c>
      <c r="M14" s="7">
        <v>4.4610000000000003</v>
      </c>
      <c r="N14" s="6">
        <v>6.694</v>
      </c>
      <c r="O14" s="7">
        <v>6.2930000000000001</v>
      </c>
      <c r="P14" s="3">
        <f t="shared" si="1"/>
        <v>5.3731428571428577</v>
      </c>
      <c r="Q14" s="3">
        <f t="shared" si="2"/>
        <v>6.694</v>
      </c>
      <c r="R14" s="3">
        <f t="shared" si="3"/>
        <v>4.335</v>
      </c>
      <c r="S14" s="3">
        <f t="shared" si="4"/>
        <v>2.359</v>
      </c>
      <c r="T14" s="3" cm="1">
        <f t="array" ref="T14">MAX((TRANSPOSE(I14:O14)-I14:O14)/I14:O14)</f>
        <v>0.54417531718569778</v>
      </c>
      <c r="U14" s="3" cm="1">
        <f t="array" ref="U14">MAX((J14:O14-I14:N14)/I14:N14)</f>
        <v>0.50056041246357308</v>
      </c>
      <c r="V14" s="3" cm="1">
        <f t="array" ref="V14">MIN((TRANSPOSE(I14:O14)-I14:O14)/I14:O14)</f>
        <v>-0.35240513893038544</v>
      </c>
      <c r="W14" s="3" cm="1">
        <f t="array" ref="W14">MIN((J14:O14-I14:N14)/I14:N14)</f>
        <v>-0.29300175354694724</v>
      </c>
      <c r="X14" s="3">
        <v>1.4470588235294117</v>
      </c>
      <c r="Y14" s="3">
        <v>1.0230680507497116</v>
      </c>
      <c r="Z14" s="3">
        <v>1.1813148788927337</v>
      </c>
      <c r="AA14" s="3">
        <v>1.0290657439446367</v>
      </c>
      <c r="AB14" s="3">
        <v>1.5441753171856978</v>
      </c>
      <c r="AC14" s="3">
        <f t="shared" si="0"/>
        <v>1.4516724336793541</v>
      </c>
    </row>
    <row r="15" spans="1:29" x14ac:dyDescent="0.3">
      <c r="A15">
        <v>3</v>
      </c>
      <c r="B15" t="s">
        <v>21</v>
      </c>
      <c r="C15" t="s">
        <v>63</v>
      </c>
      <c r="D15">
        <v>65</v>
      </c>
      <c r="E15" t="s">
        <v>64</v>
      </c>
      <c r="F15" t="s">
        <v>65</v>
      </c>
      <c r="G15" t="s">
        <v>519</v>
      </c>
      <c r="H15" s="4">
        <v>46.9</v>
      </c>
      <c r="I15" s="5">
        <v>127.545</v>
      </c>
      <c r="J15" s="6">
        <v>88.210999999999999</v>
      </c>
      <c r="K15" s="7">
        <v>71.620999999999995</v>
      </c>
      <c r="L15" s="6">
        <v>60.033000000000001</v>
      </c>
      <c r="M15" s="7">
        <v>53.726999999999997</v>
      </c>
      <c r="N15" s="6">
        <v>45.383000000000003</v>
      </c>
      <c r="O15" s="7">
        <v>37.491999999999997</v>
      </c>
      <c r="P15" s="3">
        <f t="shared" si="1"/>
        <v>69.144571428571425</v>
      </c>
      <c r="Q15" s="3">
        <f t="shared" si="2"/>
        <v>127.545</v>
      </c>
      <c r="R15" s="3">
        <f t="shared" si="3"/>
        <v>37.491999999999997</v>
      </c>
      <c r="S15" s="3">
        <f t="shared" si="4"/>
        <v>90.052999999999997</v>
      </c>
      <c r="T15" s="3" cm="1">
        <f t="array" ref="T15">MAX((TRANSPOSE(I15:O15)-I15:O15)/I15:O15)</f>
        <v>2.401925744158754</v>
      </c>
      <c r="U15" s="3" cm="1">
        <f t="array" ref="U15">MAX((J15:O15-I15:N15)/I15:N15)</f>
        <v>-0.10504222677527367</v>
      </c>
      <c r="V15" s="3" cm="1">
        <f t="array" ref="V15">MIN((TRANSPOSE(I15:O15)-I15:O15)/I15:O15)</f>
        <v>-0.70604884550550784</v>
      </c>
      <c r="W15" s="3" cm="1">
        <f t="array" ref="W15">MIN((J15:O15-I15:N15)/I15:N15)</f>
        <v>-0.30839311615508253</v>
      </c>
      <c r="X15" s="3">
        <v>0.69160688384491742</v>
      </c>
      <c r="Y15" s="3">
        <v>0.56153514445881836</v>
      </c>
      <c r="Z15" s="3">
        <v>0.4706809361401858</v>
      </c>
      <c r="AA15" s="3">
        <v>0.42123956250735034</v>
      </c>
      <c r="AB15" s="3">
        <v>0.35581951468109296</v>
      </c>
      <c r="AC15" s="3">
        <f t="shared" si="0"/>
        <v>0.29395115449449211</v>
      </c>
    </row>
    <row r="16" spans="1:29" x14ac:dyDescent="0.3">
      <c r="A16">
        <v>2</v>
      </c>
      <c r="B16" t="s">
        <v>25</v>
      </c>
      <c r="C16" t="s">
        <v>66</v>
      </c>
      <c r="D16">
        <v>37</v>
      </c>
      <c r="E16" t="s">
        <v>67</v>
      </c>
      <c r="F16" t="s">
        <v>68</v>
      </c>
      <c r="G16" t="s">
        <v>519</v>
      </c>
      <c r="H16" s="4">
        <v>2.9</v>
      </c>
      <c r="I16" s="5">
        <v>2.5099999999999998</v>
      </c>
      <c r="J16" s="6">
        <v>2.77</v>
      </c>
      <c r="K16" s="7">
        <v>2.8170000000000002</v>
      </c>
      <c r="L16" s="6">
        <v>2.6040000000000001</v>
      </c>
      <c r="M16" s="7">
        <v>2.2450000000000001</v>
      </c>
      <c r="N16" s="6">
        <v>2.3340000000000001</v>
      </c>
      <c r="O16" s="7">
        <v>2.6240000000000001</v>
      </c>
      <c r="P16" s="3">
        <f t="shared" si="1"/>
        <v>2.5577142857142858</v>
      </c>
      <c r="Q16" s="3">
        <f t="shared" si="2"/>
        <v>2.8170000000000002</v>
      </c>
      <c r="R16" s="3">
        <f t="shared" si="3"/>
        <v>2.2450000000000001</v>
      </c>
      <c r="S16" s="3">
        <f t="shared" si="4"/>
        <v>0.57200000000000006</v>
      </c>
      <c r="T16" s="3" cm="1">
        <f t="array" ref="T16">MAX((TRANSPOSE(I16:O16)-I16:O16)/I16:O16)</f>
        <v>0.25478841870824054</v>
      </c>
      <c r="U16" s="3" cm="1">
        <f t="array" ref="U16">MAX((J16:O16-I16:N16)/I16:N16)</f>
        <v>0.1242502142245073</v>
      </c>
      <c r="V16" s="3" cm="1">
        <f t="array" ref="V16">MIN((TRANSPOSE(I16:O16)-I16:O16)/I16:O16)</f>
        <v>-0.20305289314873981</v>
      </c>
      <c r="W16" s="3" cm="1">
        <f t="array" ref="W16">MIN((J16:O16-I16:N16)/I16:N16)</f>
        <v>-0.13786482334869429</v>
      </c>
      <c r="X16" s="3">
        <v>1.1035856573705181</v>
      </c>
      <c r="Y16" s="3">
        <v>1.1223107569721118</v>
      </c>
      <c r="Z16" s="3">
        <v>1.0374501992031875</v>
      </c>
      <c r="AA16" s="3">
        <v>0.89442231075697221</v>
      </c>
      <c r="AB16" s="3">
        <v>0.92988047808764951</v>
      </c>
      <c r="AC16" s="3">
        <f t="shared" si="0"/>
        <v>1.0454183266932273</v>
      </c>
    </row>
    <row r="17" spans="1:29" x14ac:dyDescent="0.3">
      <c r="A17">
        <v>2</v>
      </c>
      <c r="B17" t="s">
        <v>25</v>
      </c>
      <c r="C17" t="s">
        <v>69</v>
      </c>
      <c r="D17">
        <v>48</v>
      </c>
      <c r="E17" t="s">
        <v>70</v>
      </c>
      <c r="F17" t="s">
        <v>71</v>
      </c>
      <c r="G17" t="s">
        <v>519</v>
      </c>
      <c r="H17" s="4">
        <v>5.5</v>
      </c>
      <c r="I17" s="5">
        <v>3.7269999999999999</v>
      </c>
      <c r="J17" s="6">
        <v>7.8460000000000001</v>
      </c>
      <c r="K17" s="7">
        <v>6.867</v>
      </c>
      <c r="L17" s="6">
        <v>6.383</v>
      </c>
      <c r="M17" s="7">
        <v>4.4009999999999998</v>
      </c>
      <c r="N17" s="6">
        <v>4.6840000000000002</v>
      </c>
      <c r="O17" s="7">
        <v>5.383</v>
      </c>
      <c r="P17" s="3">
        <f t="shared" si="1"/>
        <v>5.6130000000000004</v>
      </c>
      <c r="Q17" s="3">
        <f t="shared" si="2"/>
        <v>7.8460000000000001</v>
      </c>
      <c r="R17" s="3">
        <f t="shared" si="3"/>
        <v>3.7269999999999999</v>
      </c>
      <c r="S17" s="3">
        <f t="shared" si="4"/>
        <v>4.1189999999999998</v>
      </c>
      <c r="T17" s="3" cm="1">
        <f t="array" ref="T17">MAX((TRANSPOSE(I17:O17)-I17:O17)/I17:O17)</f>
        <v>1.1051784276898309</v>
      </c>
      <c r="U17" s="3" cm="1">
        <f t="array" ref="U17">MAX((J17:O17-I17:N17)/I17:N17)</f>
        <v>1.1051784276898309</v>
      </c>
      <c r="V17" s="3" cm="1">
        <f t="array" ref="V17">MIN((TRANSPOSE(I17:O17)-I17:O17)/I17:O17)</f>
        <v>-0.52498088197807802</v>
      </c>
      <c r="W17" s="3" cm="1">
        <f t="array" ref="W17">MIN((J17:O17-I17:N17)/I17:N17)</f>
        <v>-0.31051229829233906</v>
      </c>
      <c r="X17" s="3">
        <v>2.1051784276898311</v>
      </c>
      <c r="Y17" s="3">
        <v>1.8425006707807889</v>
      </c>
      <c r="Z17" s="3">
        <v>1.7126375100617119</v>
      </c>
      <c r="AA17" s="3">
        <v>1.1808425006707808</v>
      </c>
      <c r="AB17" s="3">
        <v>1.2567748859672661</v>
      </c>
      <c r="AC17" s="3">
        <f t="shared" si="0"/>
        <v>1.4443251945264288</v>
      </c>
    </row>
    <row r="18" spans="1:29" x14ac:dyDescent="0.3">
      <c r="A18">
        <v>2</v>
      </c>
      <c r="B18" t="s">
        <v>25</v>
      </c>
      <c r="C18" t="s">
        <v>72</v>
      </c>
      <c r="D18">
        <v>58</v>
      </c>
      <c r="E18" t="s">
        <v>73</v>
      </c>
      <c r="F18" t="s">
        <v>74</v>
      </c>
      <c r="G18" t="s">
        <v>519</v>
      </c>
      <c r="H18" s="4">
        <v>5.7</v>
      </c>
      <c r="I18" s="5">
        <v>7.9</v>
      </c>
      <c r="J18" s="6">
        <v>7.3959999999999999</v>
      </c>
      <c r="K18" s="7">
        <v>5.6289999999999996</v>
      </c>
      <c r="L18" s="6">
        <v>5.1210000000000004</v>
      </c>
      <c r="M18" s="7">
        <v>4.9379999999999997</v>
      </c>
      <c r="N18" s="6">
        <v>6.2850000000000001</v>
      </c>
      <c r="O18" s="7">
        <v>5.0190000000000001</v>
      </c>
      <c r="P18" s="3">
        <f t="shared" si="1"/>
        <v>6.0411428571428569</v>
      </c>
      <c r="Q18" s="3">
        <f t="shared" si="2"/>
        <v>7.9</v>
      </c>
      <c r="R18" s="3">
        <f t="shared" si="3"/>
        <v>4.9379999999999997</v>
      </c>
      <c r="S18" s="3">
        <f t="shared" si="4"/>
        <v>2.9620000000000006</v>
      </c>
      <c r="T18" s="3" cm="1">
        <f t="array" ref="T18">MAX((TRANSPOSE(I18:O18)-I18:O18)/I18:O18)</f>
        <v>0.59983799108951008</v>
      </c>
      <c r="U18" s="3" cm="1">
        <f t="array" ref="U18">MAX((J18:O18-I18:N18)/I18:N18)</f>
        <v>0.27278250303766716</v>
      </c>
      <c r="V18" s="3" cm="1">
        <f t="array" ref="V18">MIN((TRANSPOSE(I18:O18)-I18:O18)/I18:O18)</f>
        <v>-0.37493670886075958</v>
      </c>
      <c r="W18" s="3" cm="1">
        <f t="array" ref="W18">MIN((J18:O18-I18:N18)/I18:N18)</f>
        <v>-0.23891292590589513</v>
      </c>
      <c r="X18" s="3">
        <v>0.93620253164556955</v>
      </c>
      <c r="Y18" s="3">
        <v>0.71253164556962012</v>
      </c>
      <c r="Z18" s="3">
        <v>0.64822784810126588</v>
      </c>
      <c r="AA18" s="3">
        <v>0.62506329113924042</v>
      </c>
      <c r="AB18" s="3">
        <v>0.79556962025316458</v>
      </c>
      <c r="AC18" s="3">
        <f t="shared" si="0"/>
        <v>0.63531645569620254</v>
      </c>
    </row>
    <row r="19" spans="1:29" x14ac:dyDescent="0.3">
      <c r="A19">
        <v>2</v>
      </c>
      <c r="B19" t="s">
        <v>25</v>
      </c>
      <c r="C19" t="s">
        <v>75</v>
      </c>
      <c r="D19">
        <v>73</v>
      </c>
      <c r="E19" t="s">
        <v>76</v>
      </c>
      <c r="F19" t="s">
        <v>77</v>
      </c>
      <c r="G19" t="s">
        <v>519</v>
      </c>
      <c r="H19" s="4">
        <v>5.8</v>
      </c>
      <c r="I19" s="5">
        <v>40.957000000000001</v>
      </c>
      <c r="J19" s="6">
        <v>16.664999999999999</v>
      </c>
      <c r="K19" s="7">
        <v>8.8480000000000008</v>
      </c>
      <c r="L19" s="6">
        <v>7.2249999999999996</v>
      </c>
      <c r="M19" s="7">
        <v>5.4139999999999997</v>
      </c>
      <c r="N19" s="6">
        <v>5.0579999999999998</v>
      </c>
      <c r="O19" s="7">
        <v>4.8369999999999997</v>
      </c>
      <c r="P19" s="3">
        <f t="shared" si="1"/>
        <v>12.714857142857143</v>
      </c>
      <c r="Q19" s="3">
        <f t="shared" si="2"/>
        <v>40.957000000000001</v>
      </c>
      <c r="R19" s="3">
        <f t="shared" si="3"/>
        <v>4.8369999999999997</v>
      </c>
      <c r="S19" s="3">
        <f t="shared" si="4"/>
        <v>36.120000000000005</v>
      </c>
      <c r="T19" s="3" cm="1">
        <f t="array" ref="T19">MAX((TRANSPOSE(I19:O19)-I19:O19)/I19:O19)</f>
        <v>7.4674384949348784</v>
      </c>
      <c r="U19" s="3" cm="1">
        <f t="array" ref="U19">MAX((J19:O19-I19:N19)/I19:N19)</f>
        <v>-4.3693159351522362E-2</v>
      </c>
      <c r="V19" s="3" cm="1">
        <f t="array" ref="V19">MIN((TRANSPOSE(I19:O19)-I19:O19)/I19:O19)</f>
        <v>-0.88190052982396183</v>
      </c>
      <c r="W19" s="3" cm="1">
        <f t="array" ref="W19">MIN((J19:O19-I19:N19)/I19:N19)</f>
        <v>-0.5931098469126157</v>
      </c>
      <c r="X19" s="3">
        <v>0.4068901530873843</v>
      </c>
      <c r="Y19" s="3">
        <v>0.21603144761579218</v>
      </c>
      <c r="Z19" s="3">
        <v>0.17640452181556265</v>
      </c>
      <c r="AA19" s="3">
        <v>0.13218741607051296</v>
      </c>
      <c r="AB19" s="3">
        <v>0.12349537319627901</v>
      </c>
      <c r="AC19" s="3">
        <f t="shared" si="0"/>
        <v>0.11809947017603828</v>
      </c>
    </row>
    <row r="20" spans="1:29" x14ac:dyDescent="0.3">
      <c r="A20">
        <v>1</v>
      </c>
      <c r="B20" t="s">
        <v>35</v>
      </c>
      <c r="C20" t="s">
        <v>78</v>
      </c>
      <c r="D20">
        <v>40</v>
      </c>
      <c r="E20" t="s">
        <v>79</v>
      </c>
      <c r="F20" t="s">
        <v>80</v>
      </c>
      <c r="G20" t="s">
        <v>519</v>
      </c>
      <c r="H20" s="4">
        <v>2.4</v>
      </c>
      <c r="I20" s="5">
        <v>3.1179999999999999</v>
      </c>
      <c r="J20" s="6">
        <v>3.1269999999999998</v>
      </c>
      <c r="K20" s="7">
        <v>2.5059999999999998</v>
      </c>
      <c r="L20" s="6">
        <v>2.407</v>
      </c>
      <c r="M20" s="7">
        <v>2.3050000000000002</v>
      </c>
      <c r="N20" s="6">
        <v>2.3340000000000001</v>
      </c>
      <c r="O20" s="7">
        <v>2.0259999999999998</v>
      </c>
      <c r="P20" s="3">
        <f t="shared" si="1"/>
        <v>2.5461428571428573</v>
      </c>
      <c r="Q20" s="3">
        <f t="shared" si="2"/>
        <v>3.1269999999999998</v>
      </c>
      <c r="R20" s="3">
        <f t="shared" si="3"/>
        <v>2.0259999999999998</v>
      </c>
      <c r="S20" s="3">
        <f t="shared" si="4"/>
        <v>1.101</v>
      </c>
      <c r="T20" s="3" cm="1">
        <f t="array" ref="T20">MAX((TRANSPOSE(I20:O20)-I20:O20)/I20:O20)</f>
        <v>0.54343534057255682</v>
      </c>
      <c r="U20" s="3" cm="1">
        <f t="array" ref="U20">MAX((J20:O20-I20:N20)/I20:N20)</f>
        <v>1.2581344902386079E-2</v>
      </c>
      <c r="V20" s="3" cm="1">
        <f t="array" ref="V20">MIN((TRANSPOSE(I20:O20)-I20:O20)/I20:O20)</f>
        <v>-0.35209465941797252</v>
      </c>
      <c r="W20" s="3" cm="1">
        <f t="array" ref="W20">MIN((J20:O20-I20:N20)/I20:N20)</f>
        <v>-0.19859290054365208</v>
      </c>
      <c r="X20" s="3">
        <v>1.0028864656831302</v>
      </c>
      <c r="Y20" s="3">
        <v>0.80372033354714556</v>
      </c>
      <c r="Z20" s="3">
        <v>0.77196921103271332</v>
      </c>
      <c r="AA20" s="3">
        <v>0.73925593329057093</v>
      </c>
      <c r="AB20" s="3">
        <v>0.748556767158435</v>
      </c>
      <c r="AC20" s="3">
        <f t="shared" si="0"/>
        <v>0.64977549711353433</v>
      </c>
    </row>
    <row r="21" spans="1:29" x14ac:dyDescent="0.3">
      <c r="A21">
        <v>2</v>
      </c>
      <c r="B21" t="s">
        <v>25</v>
      </c>
      <c r="C21" t="s">
        <v>81</v>
      </c>
      <c r="D21">
        <v>16</v>
      </c>
      <c r="E21" t="s">
        <v>82</v>
      </c>
      <c r="F21" t="s">
        <v>83</v>
      </c>
      <c r="G21" t="s">
        <v>519</v>
      </c>
      <c r="H21" s="4">
        <v>2.8</v>
      </c>
      <c r="I21" s="5">
        <v>2.7530000000000001</v>
      </c>
      <c r="J21" s="6">
        <v>2.984</v>
      </c>
      <c r="K21" s="7">
        <v>2.63</v>
      </c>
      <c r="L21" s="6">
        <v>2.4729999999999999</v>
      </c>
      <c r="M21" s="7">
        <v>2.8439999999999999</v>
      </c>
      <c r="N21" s="6">
        <v>3.0329999999999999</v>
      </c>
      <c r="O21" s="7">
        <v>2.4249999999999998</v>
      </c>
      <c r="P21" s="3">
        <f t="shared" si="1"/>
        <v>2.7345714285714284</v>
      </c>
      <c r="Q21" s="3">
        <f t="shared" si="2"/>
        <v>3.0329999999999999</v>
      </c>
      <c r="R21" s="3">
        <f t="shared" si="3"/>
        <v>2.4249999999999998</v>
      </c>
      <c r="S21" s="3">
        <f t="shared" si="4"/>
        <v>0.6080000000000001</v>
      </c>
      <c r="T21" s="3" cm="1">
        <f t="array" ref="T21">MAX((TRANSPOSE(I21:O21)-I21:O21)/I21:O21)</f>
        <v>0.25072164948453612</v>
      </c>
      <c r="U21" s="3" cm="1">
        <f t="array" ref="U21">MAX((J21:O21-I21:N21)/I21:N21)</f>
        <v>0.15002021835826931</v>
      </c>
      <c r="V21" s="3" cm="1">
        <f t="array" ref="V21">MIN((TRANSPOSE(I21:O21)-I21:O21)/I21:O21)</f>
        <v>-0.20046158918562484</v>
      </c>
      <c r="W21" s="3" cm="1">
        <f t="array" ref="W21">MIN((J21:O21-I21:N21)/I21:N21)</f>
        <v>-0.20046158918562484</v>
      </c>
      <c r="X21" s="3">
        <v>1.0839084634943696</v>
      </c>
      <c r="Y21" s="3">
        <v>0.95532146749001079</v>
      </c>
      <c r="Z21" s="3">
        <v>0.89829277152197595</v>
      </c>
      <c r="AA21" s="3">
        <v>1.0330548492553577</v>
      </c>
      <c r="AB21" s="3">
        <v>1.1017072284780238</v>
      </c>
      <c r="AC21" s="3">
        <f t="shared" si="0"/>
        <v>0.88085724664002896</v>
      </c>
    </row>
    <row r="22" spans="1:29" x14ac:dyDescent="0.3">
      <c r="A22">
        <v>2</v>
      </c>
      <c r="B22" t="s">
        <v>25</v>
      </c>
      <c r="C22" t="s">
        <v>84</v>
      </c>
      <c r="D22">
        <v>1</v>
      </c>
      <c r="E22" t="s">
        <v>85</v>
      </c>
      <c r="F22" t="s">
        <v>86</v>
      </c>
      <c r="G22" t="s">
        <v>519</v>
      </c>
      <c r="H22" s="4">
        <v>2.9</v>
      </c>
      <c r="I22" s="5">
        <v>2.996</v>
      </c>
      <c r="J22" s="6">
        <v>3.556</v>
      </c>
      <c r="K22" s="7">
        <v>3.19</v>
      </c>
      <c r="L22" s="6">
        <v>2.8</v>
      </c>
      <c r="M22" s="7">
        <v>2.6040000000000001</v>
      </c>
      <c r="N22" s="6">
        <v>2.7789999999999999</v>
      </c>
      <c r="O22" s="7">
        <v>2.89</v>
      </c>
      <c r="P22" s="3">
        <f t="shared" si="1"/>
        <v>2.9735714285714283</v>
      </c>
      <c r="Q22" s="3">
        <f t="shared" si="2"/>
        <v>3.556</v>
      </c>
      <c r="R22" s="3">
        <f t="shared" si="3"/>
        <v>2.6040000000000001</v>
      </c>
      <c r="S22" s="3">
        <f t="shared" si="4"/>
        <v>0.95199999999999996</v>
      </c>
      <c r="T22" s="3" cm="1">
        <f t="array" ref="T22">MAX((TRANSPOSE(I22:O22)-I22:O22)/I22:O22)</f>
        <v>0.36559139784946232</v>
      </c>
      <c r="U22" s="3" cm="1">
        <f t="array" ref="U22">MAX((J22:O22-I22:N22)/I22:N22)</f>
        <v>0.18691588785046731</v>
      </c>
      <c r="V22" s="3" cm="1">
        <f t="array" ref="V22">MIN((TRANSPOSE(I22:O22)-I22:O22)/I22:O22)</f>
        <v>-0.26771653543307083</v>
      </c>
      <c r="W22" s="3" cm="1">
        <f t="array" ref="W22">MIN((J22:O22-I22:N22)/I22:N22)</f>
        <v>-0.12225705329153609</v>
      </c>
      <c r="X22" s="3">
        <v>1.1869158878504673</v>
      </c>
      <c r="Y22" s="3">
        <v>1.0647530040053403</v>
      </c>
      <c r="Z22" s="3">
        <v>0.93457943925233644</v>
      </c>
      <c r="AA22" s="3">
        <v>0.86915887850467288</v>
      </c>
      <c r="AB22" s="3">
        <v>0.92757009345794394</v>
      </c>
      <c r="AC22" s="3">
        <f t="shared" si="0"/>
        <v>0.96461949265687585</v>
      </c>
    </row>
    <row r="23" spans="1:29" x14ac:dyDescent="0.3">
      <c r="A23">
        <v>3</v>
      </c>
      <c r="B23" t="s">
        <v>21</v>
      </c>
      <c r="C23" t="s">
        <v>87</v>
      </c>
      <c r="D23">
        <v>54</v>
      </c>
      <c r="E23" t="s">
        <v>88</v>
      </c>
      <c r="F23" t="s">
        <v>89</v>
      </c>
      <c r="G23" t="s">
        <v>519</v>
      </c>
      <c r="H23" s="4">
        <v>4.7</v>
      </c>
      <c r="I23" s="5">
        <v>3.97</v>
      </c>
      <c r="J23" s="6">
        <v>6.4980000000000002</v>
      </c>
      <c r="K23" s="7">
        <v>7.61</v>
      </c>
      <c r="L23" s="6">
        <v>4.91</v>
      </c>
      <c r="M23" s="7">
        <v>4.1609999999999996</v>
      </c>
      <c r="N23" s="6">
        <v>4.24</v>
      </c>
      <c r="O23" s="7">
        <v>5.5650000000000004</v>
      </c>
      <c r="P23" s="3">
        <f t="shared" si="1"/>
        <v>5.2791428571428574</v>
      </c>
      <c r="Q23" s="3">
        <f t="shared" si="2"/>
        <v>7.61</v>
      </c>
      <c r="R23" s="3">
        <f t="shared" si="3"/>
        <v>3.97</v>
      </c>
      <c r="S23" s="3">
        <f t="shared" si="4"/>
        <v>3.64</v>
      </c>
      <c r="T23" s="3" cm="1">
        <f t="array" ref="T23">MAX((TRANSPOSE(I23:O23)-I23:O23)/I23:O23)</f>
        <v>0.91687657430730474</v>
      </c>
      <c r="U23" s="3" cm="1">
        <f t="array" ref="U23">MAX((J23:O23-I23:N23)/I23:N23)</f>
        <v>0.63677581863979849</v>
      </c>
      <c r="V23" s="3" cm="1">
        <f t="array" ref="V23">MIN((TRANSPOSE(I23:O23)-I23:O23)/I23:O23)</f>
        <v>-0.47831800262812091</v>
      </c>
      <c r="W23" s="3" cm="1">
        <f t="array" ref="W23">MIN((J23:O23-I23:N23)/I23:N23)</f>
        <v>-0.35479632063074901</v>
      </c>
      <c r="X23" s="3">
        <v>1.6367758186397985</v>
      </c>
      <c r="Y23" s="9">
        <v>1.9168765743073048</v>
      </c>
      <c r="Z23" s="3">
        <v>1.2367758186397986</v>
      </c>
      <c r="AA23" s="3">
        <v>1.0481108312342569</v>
      </c>
      <c r="AB23" s="3">
        <v>1.0680100755667505</v>
      </c>
      <c r="AC23" s="3">
        <f t="shared" si="0"/>
        <v>1.4017632241813602</v>
      </c>
    </row>
    <row r="24" spans="1:29" s="8" customFormat="1" x14ac:dyDescent="0.3">
      <c r="A24" s="8">
        <v>1</v>
      </c>
      <c r="B24" s="8" t="s">
        <v>35</v>
      </c>
      <c r="C24" s="8" t="s">
        <v>90</v>
      </c>
      <c r="D24" s="8">
        <v>38</v>
      </c>
      <c r="E24" s="8" t="s">
        <v>91</v>
      </c>
      <c r="F24" s="8" t="s">
        <v>92</v>
      </c>
      <c r="G24" s="8" t="s">
        <v>519</v>
      </c>
      <c r="H24" s="10">
        <v>12.6</v>
      </c>
      <c r="I24" s="11">
        <v>18.22</v>
      </c>
      <c r="J24" s="12">
        <v>14.643000000000001</v>
      </c>
      <c r="K24" s="13">
        <v>15.242000000000001</v>
      </c>
      <c r="L24" s="12">
        <v>15.191000000000001</v>
      </c>
      <c r="M24" s="13">
        <v>14.648999999999999</v>
      </c>
      <c r="N24" s="12">
        <v>13.238</v>
      </c>
      <c r="O24" s="14">
        <v>11.388999999999999</v>
      </c>
      <c r="P24" s="9">
        <f t="shared" si="1"/>
        <v>14.653142857142857</v>
      </c>
      <c r="Q24" s="9">
        <f t="shared" si="2"/>
        <v>18.22</v>
      </c>
      <c r="R24" s="9">
        <f t="shared" si="3"/>
        <v>11.388999999999999</v>
      </c>
      <c r="S24" s="9">
        <f t="shared" si="4"/>
        <v>6.8309999999999995</v>
      </c>
      <c r="T24" s="9" cm="1">
        <f t="array" ref="T24">MAX((TRANSPOSE(I24:O24)-I24:O24)/I24:O24)</f>
        <v>0.59978927034858198</v>
      </c>
      <c r="U24" s="9" cm="1">
        <f t="array" ref="U24">MAX((J24:O24-I24:N24)/I24:N24)</f>
        <v>4.0906917981287996E-2</v>
      </c>
      <c r="V24" s="9" cm="1">
        <f t="array" ref="V24">MIN((TRANSPOSE(I24:O24)-I24:O24)/I24:O24)</f>
        <v>-0.37491767288693745</v>
      </c>
      <c r="W24" s="9" cm="1">
        <f t="array" ref="W24">MIN((J24:O24-I24:N24)/I24:N24)</f>
        <v>-0.19632272228320519</v>
      </c>
      <c r="X24" s="9">
        <v>0.80367727771679487</v>
      </c>
      <c r="Y24" s="9">
        <v>0.83655323819978056</v>
      </c>
      <c r="Z24" s="9">
        <v>0.83375411635565322</v>
      </c>
      <c r="AA24" s="9">
        <v>0.80400658616904497</v>
      </c>
      <c r="AB24" s="9">
        <v>0.72656421514818881</v>
      </c>
      <c r="AC24" s="9">
        <f t="shared" si="0"/>
        <v>0.62508232711306255</v>
      </c>
    </row>
    <row r="25" spans="1:29" x14ac:dyDescent="0.3">
      <c r="A25">
        <v>2</v>
      </c>
      <c r="B25" t="s">
        <v>25</v>
      </c>
      <c r="C25" t="s">
        <v>93</v>
      </c>
      <c r="D25">
        <v>40</v>
      </c>
      <c r="E25" t="s">
        <v>79</v>
      </c>
      <c r="F25" t="s">
        <v>94</v>
      </c>
      <c r="G25" t="s">
        <v>519</v>
      </c>
      <c r="H25" s="4">
        <v>5.7</v>
      </c>
      <c r="I25" s="5">
        <v>7.1</v>
      </c>
      <c r="J25" s="6">
        <v>8.7439999999999998</v>
      </c>
      <c r="K25" s="7">
        <v>5.6289999999999996</v>
      </c>
      <c r="L25" s="6">
        <v>6.173</v>
      </c>
      <c r="M25" s="7">
        <v>5.89</v>
      </c>
      <c r="N25" s="6">
        <v>6.4889999999999999</v>
      </c>
      <c r="O25" s="7">
        <v>5.9290000000000003</v>
      </c>
      <c r="P25" s="3">
        <f t="shared" si="1"/>
        <v>6.5648571428571429</v>
      </c>
      <c r="Q25" s="3">
        <f t="shared" si="2"/>
        <v>8.7439999999999998</v>
      </c>
      <c r="R25" s="3">
        <f t="shared" si="3"/>
        <v>5.6289999999999996</v>
      </c>
      <c r="S25" s="3">
        <f t="shared" si="4"/>
        <v>3.1150000000000002</v>
      </c>
      <c r="T25" s="3" cm="1">
        <f t="array" ref="T25">MAX((TRANSPOSE(I25:O25)-I25:O25)/I25:O25)</f>
        <v>0.5533842600817197</v>
      </c>
      <c r="U25" s="3" cm="1">
        <f t="array" ref="U25">MAX((J25:O25-I25:N25)/I25:N25)</f>
        <v>0.23154929577464792</v>
      </c>
      <c r="V25" s="3" cm="1">
        <f t="array" ref="V25">MIN((TRANSPOSE(I25:O25)-I25:O25)/I25:O25)</f>
        <v>-0.3562442817932297</v>
      </c>
      <c r="W25" s="3" cm="1">
        <f t="array" ref="W25">MIN((J25:O25-I25:N25)/I25:N25)</f>
        <v>-0.3562442817932297</v>
      </c>
      <c r="X25" s="3">
        <v>1.2315492957746479</v>
      </c>
      <c r="Y25" s="3">
        <v>0.79281690140845074</v>
      </c>
      <c r="Z25" s="3">
        <v>0.86943661971830988</v>
      </c>
      <c r="AA25" s="3">
        <v>0.8295774647887324</v>
      </c>
      <c r="AB25" s="3">
        <v>0.91394366197183097</v>
      </c>
      <c r="AC25" s="3">
        <f t="shared" si="0"/>
        <v>0.83507042253521135</v>
      </c>
    </row>
    <row r="26" spans="1:29" x14ac:dyDescent="0.3">
      <c r="A26">
        <v>1</v>
      </c>
      <c r="B26" t="s">
        <v>35</v>
      </c>
      <c r="C26" t="s">
        <v>95</v>
      </c>
      <c r="D26">
        <v>54</v>
      </c>
      <c r="E26" t="s">
        <v>88</v>
      </c>
      <c r="F26" t="s">
        <v>96</v>
      </c>
      <c r="G26" t="s">
        <v>519</v>
      </c>
      <c r="H26" s="4">
        <v>4.9000000000000004</v>
      </c>
      <c r="I26" s="5">
        <v>2.8140000000000001</v>
      </c>
      <c r="J26" s="6">
        <v>3.6989999999999998</v>
      </c>
      <c r="K26" s="7">
        <v>3.875</v>
      </c>
      <c r="L26" s="6">
        <v>4.3719999999999999</v>
      </c>
      <c r="M26" s="7">
        <v>4.4610000000000003</v>
      </c>
      <c r="N26" s="6">
        <v>4.6840000000000002</v>
      </c>
      <c r="O26" s="7">
        <v>4.8369999999999997</v>
      </c>
      <c r="P26" s="3">
        <f t="shared" si="1"/>
        <v>4.1059999999999999</v>
      </c>
      <c r="Q26" s="3">
        <f t="shared" si="2"/>
        <v>4.8369999999999997</v>
      </c>
      <c r="R26" s="3">
        <f t="shared" si="3"/>
        <v>2.8140000000000001</v>
      </c>
      <c r="S26" s="3">
        <f t="shared" si="4"/>
        <v>2.0229999999999997</v>
      </c>
      <c r="T26" s="3" cm="1">
        <f t="array" ref="T26">MAX((TRANSPOSE(I26:O26)-I26:O26)/I26:O26)</f>
        <v>0.71890547263681581</v>
      </c>
      <c r="U26" s="3" cm="1">
        <f t="array" ref="U26">MAX((J26:O26-I26:N26)/I26:N26)</f>
        <v>0.31449893390191891</v>
      </c>
      <c r="V26" s="3" cm="1">
        <f t="array" ref="V26">MIN((TRANSPOSE(I26:O26)-I26:O26)/I26:O26)</f>
        <v>-0.41823444283646882</v>
      </c>
      <c r="W26" s="3" cm="1">
        <f t="array" ref="W26">MIN((J26:O26-I26:N26)/I26:N26)</f>
        <v>2.0356816102470358E-2</v>
      </c>
      <c r="X26" s="3">
        <v>1.3144989339019189</v>
      </c>
      <c r="Y26" s="3">
        <v>1.3770433546552949</v>
      </c>
      <c r="Z26" s="3">
        <v>1.5536602700781805</v>
      </c>
      <c r="AA26" s="3">
        <v>1.5852878464818765</v>
      </c>
      <c r="AB26" s="3">
        <v>1.6645344705046199</v>
      </c>
      <c r="AC26" s="3">
        <f t="shared" si="0"/>
        <v>1.7189054726368158</v>
      </c>
    </row>
    <row r="27" spans="1:29" x14ac:dyDescent="0.3">
      <c r="A27">
        <v>2</v>
      </c>
      <c r="B27" t="s">
        <v>25</v>
      </c>
      <c r="C27" t="s">
        <v>97</v>
      </c>
      <c r="D27">
        <v>26</v>
      </c>
      <c r="E27" t="s">
        <v>98</v>
      </c>
      <c r="F27" t="s">
        <v>99</v>
      </c>
      <c r="G27" t="s">
        <v>519</v>
      </c>
      <c r="H27" s="4">
        <v>2.9</v>
      </c>
      <c r="I27" s="5">
        <v>2.5710000000000002</v>
      </c>
      <c r="J27" s="6">
        <v>3.27</v>
      </c>
      <c r="K27" s="7">
        <v>3.2530000000000001</v>
      </c>
      <c r="L27" s="6">
        <v>2.669</v>
      </c>
      <c r="M27" s="7">
        <v>2.6640000000000001</v>
      </c>
      <c r="N27" s="6">
        <v>2.4609999999999999</v>
      </c>
      <c r="O27" s="7">
        <v>2.4910000000000001</v>
      </c>
      <c r="P27" s="3">
        <f t="shared" si="1"/>
        <v>2.7684285714285717</v>
      </c>
      <c r="Q27" s="3">
        <f t="shared" si="2"/>
        <v>3.27</v>
      </c>
      <c r="R27" s="3">
        <f t="shared" si="3"/>
        <v>2.4609999999999999</v>
      </c>
      <c r="S27" s="3">
        <f t="shared" si="4"/>
        <v>0.80900000000000016</v>
      </c>
      <c r="T27" s="3" cm="1">
        <f t="array" ref="T27">MAX((TRANSPOSE(I27:O27)-I27:O27)/I27:O27)</f>
        <v>0.32872815928484367</v>
      </c>
      <c r="U27" s="3" cm="1">
        <f t="array" ref="U27">MAX((J27:O27-I27:N27)/I27:N27)</f>
        <v>0.27187864644107346</v>
      </c>
      <c r="V27" s="3" cm="1">
        <f t="array" ref="V27">MIN((TRANSPOSE(I27:O27)-I27:O27)/I27:O27)</f>
        <v>-0.24740061162079516</v>
      </c>
      <c r="W27" s="3" cm="1">
        <f t="array" ref="W27">MIN((J27:O27-I27:N27)/I27:N27)</f>
        <v>-0.17952659083922534</v>
      </c>
      <c r="X27" s="3">
        <v>1.2718786464410734</v>
      </c>
      <c r="Y27" s="3">
        <v>1.2652664332944379</v>
      </c>
      <c r="Z27" s="3">
        <v>1.0381174640217814</v>
      </c>
      <c r="AA27" s="3">
        <v>1.0361726954492416</v>
      </c>
      <c r="AB27" s="3">
        <v>0.95721509140412275</v>
      </c>
      <c r="AC27" s="3">
        <f t="shared" si="0"/>
        <v>0.96888370283936209</v>
      </c>
    </row>
    <row r="28" spans="1:29" x14ac:dyDescent="0.3">
      <c r="A28">
        <v>1</v>
      </c>
      <c r="B28" t="s">
        <v>35</v>
      </c>
      <c r="C28" t="s">
        <v>100</v>
      </c>
      <c r="D28">
        <v>35</v>
      </c>
      <c r="E28" t="s">
        <v>101</v>
      </c>
      <c r="F28" t="s">
        <v>102</v>
      </c>
      <c r="G28" t="s">
        <v>519</v>
      </c>
      <c r="H28" s="4">
        <v>2.1</v>
      </c>
      <c r="I28" s="5">
        <v>2.0230000000000001</v>
      </c>
      <c r="J28" s="6">
        <v>1.6259999999999999</v>
      </c>
      <c r="K28" s="7">
        <v>1.7589999999999999</v>
      </c>
      <c r="L28" s="6">
        <v>1.621</v>
      </c>
      <c r="M28" s="7">
        <v>1.946</v>
      </c>
      <c r="N28" s="6">
        <v>2.08</v>
      </c>
      <c r="O28" s="7">
        <v>2.0259999999999998</v>
      </c>
      <c r="P28" s="3">
        <f t="shared" si="1"/>
        <v>1.8687142857142856</v>
      </c>
      <c r="Q28" s="3">
        <f t="shared" si="2"/>
        <v>2.08</v>
      </c>
      <c r="R28" s="3">
        <f t="shared" si="3"/>
        <v>1.621</v>
      </c>
      <c r="S28" s="3">
        <f t="shared" si="4"/>
        <v>0.45900000000000007</v>
      </c>
      <c r="T28" s="3" cm="1">
        <f t="array" ref="T28">MAX((TRANSPOSE(I28:O28)-I28:O28)/I28:O28)</f>
        <v>0.28315854410857499</v>
      </c>
      <c r="U28" s="3" cm="1">
        <f t="array" ref="U28">MAX((J28:O28-I28:N28)/I28:N28)</f>
        <v>0.20049352251696481</v>
      </c>
      <c r="V28" s="3" cm="1">
        <f t="array" ref="V28">MIN((TRANSPOSE(I28:O28)-I28:O28)/I28:O28)</f>
        <v>-0.22067307692307694</v>
      </c>
      <c r="W28" s="3" cm="1">
        <f t="array" ref="W28">MIN((J28:O28-I28:N28)/I28:N28)</f>
        <v>-0.19624320316361848</v>
      </c>
      <c r="X28" s="3">
        <v>0.80375679683638146</v>
      </c>
      <c r="Y28" s="3">
        <v>0.86950074147305967</v>
      </c>
      <c r="Z28" s="3">
        <v>0.80128521997034108</v>
      </c>
      <c r="AA28" s="3">
        <v>0.96193771626297564</v>
      </c>
      <c r="AB28" s="3">
        <v>1.0281759762728619</v>
      </c>
      <c r="AC28" s="3">
        <f t="shared" si="0"/>
        <v>1.0014829461196242</v>
      </c>
    </row>
    <row r="29" spans="1:29" x14ac:dyDescent="0.3">
      <c r="A29">
        <v>1</v>
      </c>
      <c r="B29" t="s">
        <v>35</v>
      </c>
      <c r="C29" t="s">
        <v>103</v>
      </c>
      <c r="D29">
        <v>22</v>
      </c>
      <c r="E29" t="s">
        <v>104</v>
      </c>
      <c r="F29" t="s">
        <v>105</v>
      </c>
      <c r="G29" t="s">
        <v>519</v>
      </c>
      <c r="H29" s="4">
        <v>10.1</v>
      </c>
      <c r="I29" s="5">
        <v>11.9</v>
      </c>
      <c r="J29" s="6">
        <v>10.766999999999999</v>
      </c>
      <c r="K29" s="7">
        <v>13.552</v>
      </c>
      <c r="L29" s="6">
        <v>12.695</v>
      </c>
      <c r="M29" s="7">
        <v>11.124000000000001</v>
      </c>
      <c r="N29" s="6">
        <v>8.7390000000000008</v>
      </c>
      <c r="O29" s="7">
        <v>7.5670000000000002</v>
      </c>
      <c r="P29" s="3">
        <f t="shared" si="1"/>
        <v>10.906285714285714</v>
      </c>
      <c r="Q29" s="3">
        <f t="shared" si="2"/>
        <v>13.552</v>
      </c>
      <c r="R29" s="3">
        <f t="shared" si="3"/>
        <v>7.5670000000000002</v>
      </c>
      <c r="S29" s="3">
        <f t="shared" si="4"/>
        <v>5.9849999999999994</v>
      </c>
      <c r="T29" s="3" cm="1">
        <f t="array" ref="T29">MAX((TRANSPOSE(I29:O29)-I29:O29)/I29:O29)</f>
        <v>0.79093432007400544</v>
      </c>
      <c r="U29" s="3" cm="1">
        <f t="array" ref="U29">MAX((J29:O29-I29:N29)/I29:N29)</f>
        <v>0.2586607225782484</v>
      </c>
      <c r="V29" s="3" cm="1">
        <f t="array" ref="V29">MIN((TRANSPOSE(I29:O29)-I29:O29)/I29:O29)</f>
        <v>-0.44163223140495866</v>
      </c>
      <c r="W29" s="3" cm="1">
        <f t="array" ref="W29">MIN((J29:O29-I29:N29)/I29:N29)</f>
        <v>-0.21440129449838186</v>
      </c>
      <c r="X29" s="3">
        <v>0.90478991596638647</v>
      </c>
      <c r="Y29" s="3">
        <v>1.1388235294117646</v>
      </c>
      <c r="Z29" s="3">
        <v>1.0668067226890756</v>
      </c>
      <c r="AA29" s="3">
        <v>0.93478991596638661</v>
      </c>
      <c r="AB29" s="3">
        <v>0.73436974789915965</v>
      </c>
      <c r="AC29" s="3">
        <f t="shared" si="0"/>
        <v>0.63588235294117645</v>
      </c>
    </row>
    <row r="30" spans="1:29" x14ac:dyDescent="0.3">
      <c r="A30">
        <v>1</v>
      </c>
      <c r="B30" t="s">
        <v>35</v>
      </c>
      <c r="C30" t="s">
        <v>106</v>
      </c>
      <c r="D30">
        <v>52</v>
      </c>
      <c r="E30" t="s">
        <v>107</v>
      </c>
      <c r="F30" t="s">
        <v>108</v>
      </c>
      <c r="G30" t="s">
        <v>519</v>
      </c>
      <c r="H30" s="4">
        <v>10.199999999999999</v>
      </c>
      <c r="I30" s="5">
        <v>16.613</v>
      </c>
      <c r="J30" s="6">
        <v>10.542</v>
      </c>
      <c r="K30" s="7">
        <v>9.0950000000000006</v>
      </c>
      <c r="L30" s="6">
        <v>12.064</v>
      </c>
      <c r="M30" s="7">
        <v>11.837</v>
      </c>
      <c r="N30" s="6">
        <v>10.988</v>
      </c>
      <c r="O30" s="7">
        <v>7.7489999999999997</v>
      </c>
      <c r="P30" s="3">
        <f t="shared" si="1"/>
        <v>11.269714285714285</v>
      </c>
      <c r="Q30" s="3">
        <f t="shared" si="2"/>
        <v>16.613</v>
      </c>
      <c r="R30" s="3">
        <f t="shared" si="3"/>
        <v>7.7489999999999997</v>
      </c>
      <c r="S30" s="3">
        <f t="shared" si="4"/>
        <v>8.8640000000000008</v>
      </c>
      <c r="T30" s="3" cm="1">
        <f t="array" ref="T30">MAX((TRANSPOSE(I30:O30)-I30:O30)/I30:O30)</f>
        <v>1.1438895341334367</v>
      </c>
      <c r="U30" s="3" cm="1">
        <f t="array" ref="U30">MAX((J30:O30-I30:N30)/I30:N30)</f>
        <v>0.32644310060472781</v>
      </c>
      <c r="V30" s="3" cm="1">
        <f t="array" ref="V30">MIN((TRANSPOSE(I30:O30)-I30:O30)/I30:O30)</f>
        <v>-0.53355805694335767</v>
      </c>
      <c r="W30" s="3" cm="1">
        <f t="array" ref="W30">MIN((J30:O30-I30:N30)/I30:N30)</f>
        <v>-0.36543670619394447</v>
      </c>
      <c r="X30" s="3">
        <v>0.63456329380605547</v>
      </c>
      <c r="Y30" s="3">
        <v>0.54746283031360987</v>
      </c>
      <c r="Z30" s="3">
        <v>0.72617829410702461</v>
      </c>
      <c r="AA30" s="3">
        <v>0.71251429603322702</v>
      </c>
      <c r="AB30" s="3">
        <v>0.66140973936074154</v>
      </c>
      <c r="AC30" s="3">
        <f t="shared" si="0"/>
        <v>0.46644194305664238</v>
      </c>
    </row>
    <row r="31" spans="1:29" x14ac:dyDescent="0.3">
      <c r="A31">
        <v>2</v>
      </c>
      <c r="B31" t="s">
        <v>25</v>
      </c>
      <c r="C31" t="s">
        <v>109</v>
      </c>
      <c r="D31">
        <v>87</v>
      </c>
      <c r="E31" t="s">
        <v>110</v>
      </c>
      <c r="F31" t="s">
        <v>111</v>
      </c>
      <c r="G31" t="s">
        <v>519</v>
      </c>
      <c r="H31" s="4">
        <v>4.3</v>
      </c>
      <c r="I31" s="5">
        <v>4.274</v>
      </c>
      <c r="J31" s="6">
        <v>4.7</v>
      </c>
      <c r="K31" s="7">
        <v>4.3730000000000002</v>
      </c>
      <c r="L31" s="6">
        <v>3.9790000000000001</v>
      </c>
      <c r="M31" s="7">
        <v>3.742</v>
      </c>
      <c r="N31" s="6">
        <v>4.1130000000000004</v>
      </c>
      <c r="O31" s="7">
        <v>4.351</v>
      </c>
      <c r="P31" s="3">
        <f t="shared" si="1"/>
        <v>4.2188571428571429</v>
      </c>
      <c r="Q31" s="3">
        <f t="shared" si="2"/>
        <v>4.7</v>
      </c>
      <c r="R31" s="3">
        <f t="shared" si="3"/>
        <v>3.742</v>
      </c>
      <c r="S31" s="3">
        <f t="shared" si="4"/>
        <v>0.95800000000000018</v>
      </c>
      <c r="T31" s="3" cm="1">
        <f t="array" ref="T31">MAX((TRANSPOSE(I31:O31)-I31:O31)/I31:O31)</f>
        <v>0.25601282736504549</v>
      </c>
      <c r="U31" s="3" cm="1">
        <f t="array" ref="U31">MAX((J31:O31-I31:N31)/I31:N31)</f>
        <v>9.9672437997192359E-2</v>
      </c>
      <c r="V31" s="3" cm="1">
        <f t="array" ref="V31">MIN((TRANSPOSE(I31:O31)-I31:O31)/I31:O31)</f>
        <v>-0.20382978723404258</v>
      </c>
      <c r="W31" s="3" cm="1">
        <f t="array" ref="W31">MIN((J31:O31-I31:N31)/I31:N31)</f>
        <v>-9.0098330665447091E-2</v>
      </c>
      <c r="X31" s="3">
        <v>1.0996724379971923</v>
      </c>
      <c r="Y31" s="3">
        <v>1.0231633130556856</v>
      </c>
      <c r="Z31" s="3">
        <v>0.93097800655124008</v>
      </c>
      <c r="AA31" s="3">
        <v>0.87552643893308379</v>
      </c>
      <c r="AB31" s="3">
        <v>0.9623303696771176</v>
      </c>
      <c r="AC31" s="3">
        <f t="shared" si="0"/>
        <v>1.0180159101544222</v>
      </c>
    </row>
    <row r="32" spans="1:29" x14ac:dyDescent="0.3">
      <c r="A32">
        <v>2</v>
      </c>
      <c r="B32" t="s">
        <v>25</v>
      </c>
      <c r="C32" t="s">
        <v>112</v>
      </c>
      <c r="D32">
        <v>17</v>
      </c>
      <c r="E32" t="s">
        <v>113</v>
      </c>
      <c r="F32" t="s">
        <v>114</v>
      </c>
      <c r="G32" t="s">
        <v>519</v>
      </c>
      <c r="H32" s="4">
        <v>2.2000000000000002</v>
      </c>
      <c r="I32" s="5">
        <v>1.6579999999999999</v>
      </c>
      <c r="J32" s="6">
        <v>1.4119999999999999</v>
      </c>
      <c r="K32" s="7">
        <v>1.6339999999999999</v>
      </c>
      <c r="L32" s="6">
        <v>1.8180000000000001</v>
      </c>
      <c r="M32" s="7">
        <v>1.706</v>
      </c>
      <c r="N32" s="6">
        <v>1.7629999999999999</v>
      </c>
      <c r="O32" s="7">
        <v>2.2250000000000001</v>
      </c>
      <c r="P32" s="3">
        <f t="shared" si="1"/>
        <v>1.7451428571428571</v>
      </c>
      <c r="Q32" s="3">
        <f t="shared" si="2"/>
        <v>2.2250000000000001</v>
      </c>
      <c r="R32" s="3">
        <f t="shared" si="3"/>
        <v>1.4119999999999999</v>
      </c>
      <c r="S32" s="3">
        <f t="shared" si="4"/>
        <v>0.81300000000000017</v>
      </c>
      <c r="T32" s="3" cm="1">
        <f t="array" ref="T32">MAX((TRANSPOSE(I32:O32)-I32:O32)/I32:O32)</f>
        <v>0.57577903682719567</v>
      </c>
      <c r="U32" s="3" cm="1">
        <f t="array" ref="U32">MAX((J32:O32-I32:N32)/I32:N32)</f>
        <v>0.2620533182076008</v>
      </c>
      <c r="V32" s="3" cm="1">
        <f t="array" ref="V32">MIN((TRANSPOSE(I32:O32)-I32:O32)/I32:O32)</f>
        <v>-0.36539325842696635</v>
      </c>
      <c r="W32" s="3" cm="1">
        <f t="array" ref="W32">MIN((J32:O32-I32:N32)/I32:N32)</f>
        <v>-0.14837153196622438</v>
      </c>
      <c r="X32" s="3">
        <v>0.85162846803377568</v>
      </c>
      <c r="Y32" s="3">
        <v>0.98552472858866103</v>
      </c>
      <c r="Z32" s="3">
        <v>1.0965018094089265</v>
      </c>
      <c r="AA32" s="3">
        <v>1.0289505428226779</v>
      </c>
      <c r="AB32" s="3">
        <v>1.0633293124246079</v>
      </c>
      <c r="AC32" s="3">
        <f t="shared" si="0"/>
        <v>1.3419782870928831</v>
      </c>
    </row>
    <row r="33" spans="1:29" x14ac:dyDescent="0.3">
      <c r="A33">
        <v>2</v>
      </c>
      <c r="B33" t="s">
        <v>25</v>
      </c>
      <c r="C33" t="s">
        <v>115</v>
      </c>
      <c r="D33">
        <v>51</v>
      </c>
      <c r="E33" t="s">
        <v>49</v>
      </c>
      <c r="F33" t="s">
        <v>116</v>
      </c>
      <c r="G33" t="s">
        <v>519</v>
      </c>
      <c r="H33" s="4">
        <v>3.6</v>
      </c>
      <c r="I33" s="5">
        <v>3.4830000000000001</v>
      </c>
      <c r="J33" s="6">
        <v>3.556</v>
      </c>
      <c r="K33" s="7">
        <v>3.6259999999999999</v>
      </c>
      <c r="L33" s="6">
        <v>3.5209999999999999</v>
      </c>
      <c r="M33" s="7">
        <v>3.5619999999999998</v>
      </c>
      <c r="N33" s="6">
        <v>3.4769999999999999</v>
      </c>
      <c r="O33" s="7">
        <v>3.4209999999999998</v>
      </c>
      <c r="P33" s="3">
        <f t="shared" si="1"/>
        <v>3.5208571428571429</v>
      </c>
      <c r="Q33" s="3">
        <f t="shared" si="2"/>
        <v>3.6259999999999999</v>
      </c>
      <c r="R33" s="3">
        <f t="shared" si="3"/>
        <v>3.4209999999999998</v>
      </c>
      <c r="S33" s="3">
        <f t="shared" si="4"/>
        <v>0.20500000000000007</v>
      </c>
      <c r="T33" s="3" cm="1">
        <f t="array" ref="T33">MAX((TRANSPOSE(I33:O33)-I33:O33)/I33:O33)</f>
        <v>5.9923998830751266E-2</v>
      </c>
      <c r="U33" s="3" cm="1">
        <f t="array" ref="U33">MAX((J33:O33-I33:N33)/I33:N33)</f>
        <v>2.0958943439563581E-2</v>
      </c>
      <c r="V33" s="3" cm="1">
        <f t="array" ref="V33">MIN((TRANSPOSE(I33:O33)-I33:O33)/I33:O33)</f>
        <v>-5.6536127964699416E-2</v>
      </c>
      <c r="W33" s="3" cm="1">
        <f t="array" ref="W33">MIN((J33:O33-I33:N33)/I33:N33)</f>
        <v>-2.8957528957528955E-2</v>
      </c>
      <c r="X33" s="3">
        <v>1.0209589434395636</v>
      </c>
      <c r="Y33" s="3">
        <v>1.0410565604364053</v>
      </c>
      <c r="Z33" s="3">
        <v>1.0109101349411427</v>
      </c>
      <c r="AA33" s="3">
        <v>1.0226815963250071</v>
      </c>
      <c r="AB33" s="3">
        <v>0.9982773471145564</v>
      </c>
      <c r="AC33" s="3">
        <f t="shared" si="0"/>
        <v>0.98219925351708293</v>
      </c>
    </row>
    <row r="34" spans="1:29" x14ac:dyDescent="0.3">
      <c r="A34">
        <v>1</v>
      </c>
      <c r="B34" t="s">
        <v>35</v>
      </c>
      <c r="C34" t="s">
        <v>117</v>
      </c>
      <c r="D34">
        <v>41</v>
      </c>
      <c r="E34" t="s">
        <v>118</v>
      </c>
      <c r="F34" t="s">
        <v>119</v>
      </c>
      <c r="G34" t="s">
        <v>519</v>
      </c>
      <c r="H34" s="4">
        <v>3.2</v>
      </c>
      <c r="I34" s="5">
        <v>2.327</v>
      </c>
      <c r="J34" s="6">
        <v>2.6269999999999998</v>
      </c>
      <c r="K34" s="7">
        <v>2.6920000000000002</v>
      </c>
      <c r="L34" s="6">
        <v>2.4729999999999999</v>
      </c>
      <c r="M34" s="7">
        <v>3.024</v>
      </c>
      <c r="N34" s="6">
        <v>2.6520000000000001</v>
      </c>
      <c r="O34" s="7">
        <v>3.222</v>
      </c>
      <c r="P34" s="3">
        <f t="shared" si="1"/>
        <v>2.7167142857142861</v>
      </c>
      <c r="Q34" s="3">
        <f t="shared" si="2"/>
        <v>3.222</v>
      </c>
      <c r="R34" s="3">
        <f t="shared" si="3"/>
        <v>2.327</v>
      </c>
      <c r="S34" s="3">
        <f t="shared" si="4"/>
        <v>0.89500000000000002</v>
      </c>
      <c r="T34" s="3" cm="1">
        <f t="array" ref="T34">MAX((TRANSPOSE(I34:O34)-I34:O34)/I34:O34)</f>
        <v>0.38461538461538464</v>
      </c>
      <c r="U34" s="3" cm="1">
        <f t="array" ref="U34">MAX((J34:O34-I34:N34)/I34:N34)</f>
        <v>0.2228063081277801</v>
      </c>
      <c r="V34" s="3" cm="1">
        <f t="array" ref="V34">MIN((TRANSPOSE(I34:O34)-I34:O34)/I34:O34)</f>
        <v>-0.27777777777777779</v>
      </c>
      <c r="W34" s="3" cm="1">
        <f t="array" ref="W34">MIN((J34:O34-I34:N34)/I34:N34)</f>
        <v>-0.12301587301587298</v>
      </c>
      <c r="X34" s="3">
        <v>1.1289213579716373</v>
      </c>
      <c r="Y34" s="3">
        <v>1.1568543188654921</v>
      </c>
      <c r="Z34" s="3">
        <v>1.0627417275461968</v>
      </c>
      <c r="AA34" s="3">
        <v>1.299527288354104</v>
      </c>
      <c r="AB34" s="3">
        <v>1.1396648044692739</v>
      </c>
      <c r="AC34" s="3">
        <f t="shared" ref="AC34:AC65" si="5">O34/I34</f>
        <v>1.3846153846153846</v>
      </c>
    </row>
    <row r="35" spans="1:29" x14ac:dyDescent="0.3">
      <c r="A35">
        <v>2</v>
      </c>
      <c r="B35" t="s">
        <v>25</v>
      </c>
      <c r="C35" t="s">
        <v>120</v>
      </c>
      <c r="D35">
        <v>29</v>
      </c>
      <c r="E35" t="s">
        <v>121</v>
      </c>
      <c r="F35" t="s">
        <v>122</v>
      </c>
      <c r="G35" t="s">
        <v>519</v>
      </c>
      <c r="H35" s="4">
        <v>2.2999999999999998</v>
      </c>
      <c r="I35" s="5">
        <v>1.4750000000000001</v>
      </c>
      <c r="J35" s="6">
        <v>2.1269999999999998</v>
      </c>
      <c r="K35" s="7">
        <v>1.6339999999999999</v>
      </c>
      <c r="L35" s="6">
        <v>2.2759999999999998</v>
      </c>
      <c r="M35" s="7">
        <v>1.946</v>
      </c>
      <c r="N35" s="6">
        <v>1.7629999999999999</v>
      </c>
      <c r="O35" s="7">
        <v>2.093</v>
      </c>
      <c r="P35" s="3">
        <f t="shared" si="1"/>
        <v>1.9019999999999999</v>
      </c>
      <c r="Q35" s="3">
        <f t="shared" si="2"/>
        <v>2.2759999999999998</v>
      </c>
      <c r="R35" s="3">
        <f t="shared" si="3"/>
        <v>1.4750000000000001</v>
      </c>
      <c r="S35" s="3">
        <f t="shared" si="4"/>
        <v>0.80099999999999971</v>
      </c>
      <c r="T35" s="3" cm="1">
        <f t="array" ref="T35">MAX((TRANSPOSE(I35:O35)-I35:O35)/I35:O35)</f>
        <v>0.54305084745762688</v>
      </c>
      <c r="U35" s="3" cm="1">
        <f t="array" ref="U35">MAX((J35:O35-I35:N35)/I35:N35)</f>
        <v>0.44203389830508449</v>
      </c>
      <c r="V35" s="3" cm="1">
        <f t="array" ref="V35">MIN((TRANSPOSE(I35:O35)-I35:O35)/I35:O35)</f>
        <v>-0.35193321616871698</v>
      </c>
      <c r="W35" s="3" cm="1">
        <f t="array" ref="W35">MIN((J35:O35-I35:N35)/I35:N35)</f>
        <v>-0.23178185237423599</v>
      </c>
      <c r="X35" s="3">
        <v>1.4420338983050844</v>
      </c>
      <c r="Y35" s="3">
        <v>1.1077966101694914</v>
      </c>
      <c r="Z35" s="3">
        <v>1.543050847457627</v>
      </c>
      <c r="AA35" s="3">
        <v>1.3193220338983049</v>
      </c>
      <c r="AB35" s="3">
        <v>1.1952542372881354</v>
      </c>
      <c r="AC35" s="3">
        <f t="shared" si="5"/>
        <v>1.4189830508474575</v>
      </c>
    </row>
    <row r="36" spans="1:29" x14ac:dyDescent="0.3">
      <c r="A36">
        <v>2</v>
      </c>
      <c r="B36" t="s">
        <v>25</v>
      </c>
      <c r="C36" t="s">
        <v>123</v>
      </c>
      <c r="D36">
        <v>4</v>
      </c>
      <c r="E36" t="s">
        <v>124</v>
      </c>
      <c r="F36" t="s">
        <v>125</v>
      </c>
      <c r="G36" t="s">
        <v>519</v>
      </c>
      <c r="H36" s="4">
        <v>6</v>
      </c>
      <c r="I36" s="5">
        <v>4.5170000000000003</v>
      </c>
      <c r="J36" s="6">
        <v>6.7220000000000004</v>
      </c>
      <c r="K36" s="7">
        <v>6.6189999999999998</v>
      </c>
      <c r="L36" s="6">
        <v>6.5940000000000003</v>
      </c>
      <c r="M36" s="7">
        <v>4.4610000000000003</v>
      </c>
      <c r="N36" s="6">
        <v>4.43</v>
      </c>
      <c r="O36" s="7">
        <v>5.2009999999999996</v>
      </c>
      <c r="P36" s="3">
        <f t="shared" si="1"/>
        <v>5.5062857142857151</v>
      </c>
      <c r="Q36" s="3">
        <f t="shared" si="2"/>
        <v>6.7220000000000004</v>
      </c>
      <c r="R36" s="3">
        <f t="shared" si="3"/>
        <v>4.43</v>
      </c>
      <c r="S36" s="3">
        <f t="shared" si="4"/>
        <v>2.2920000000000007</v>
      </c>
      <c r="T36" s="3" cm="1">
        <f t="array" ref="T36">MAX((TRANSPOSE(I36:O36)-I36:O36)/I36:O36)</f>
        <v>0.51738148984198662</v>
      </c>
      <c r="U36" s="3" cm="1">
        <f t="array" ref="U36">MAX((J36:O36-I36:N36)/I36:N36)</f>
        <v>0.48815585565640912</v>
      </c>
      <c r="V36" s="3" cm="1">
        <f t="array" ref="V36">MIN((TRANSPOSE(I36:O36)-I36:O36)/I36:O36)</f>
        <v>-0.34096994941981562</v>
      </c>
      <c r="W36" s="3" cm="1">
        <f t="array" ref="W36">MIN((J36:O36-I36:N36)/I36:N36)</f>
        <v>-0.32347588717015469</v>
      </c>
      <c r="X36" s="3">
        <v>1.4881558556564092</v>
      </c>
      <c r="Y36" s="3">
        <v>1.4653531104715518</v>
      </c>
      <c r="Z36" s="3">
        <v>1.4598184635820235</v>
      </c>
      <c r="AA36" s="3">
        <v>0.98760239096745628</v>
      </c>
      <c r="AB36" s="3">
        <v>0.98073942882444087</v>
      </c>
      <c r="AC36" s="3">
        <f t="shared" si="5"/>
        <v>1.1514279388974982</v>
      </c>
    </row>
    <row r="37" spans="1:29" x14ac:dyDescent="0.3">
      <c r="A37">
        <v>3</v>
      </c>
      <c r="B37" t="s">
        <v>21</v>
      </c>
      <c r="C37" t="s">
        <v>126</v>
      </c>
      <c r="D37">
        <v>66</v>
      </c>
      <c r="E37" t="s">
        <v>127</v>
      </c>
      <c r="F37" t="s">
        <v>128</v>
      </c>
      <c r="G37" t="s">
        <v>519</v>
      </c>
      <c r="H37" s="4">
        <v>3.7</v>
      </c>
      <c r="I37" s="5">
        <v>3.24</v>
      </c>
      <c r="J37" s="6">
        <v>3.556</v>
      </c>
      <c r="K37" s="7">
        <v>3.3769999999999998</v>
      </c>
      <c r="L37" s="6">
        <v>3.3239999999999998</v>
      </c>
      <c r="M37" s="7">
        <v>3.2629999999999999</v>
      </c>
      <c r="N37" s="6">
        <v>3.6680000000000001</v>
      </c>
      <c r="O37" s="7">
        <v>3.8860000000000001</v>
      </c>
      <c r="P37" s="3">
        <f t="shared" si="1"/>
        <v>3.4734285714285709</v>
      </c>
      <c r="Q37" s="3">
        <f t="shared" si="2"/>
        <v>3.8860000000000001</v>
      </c>
      <c r="R37" s="3">
        <f t="shared" si="3"/>
        <v>3.24</v>
      </c>
      <c r="S37" s="3">
        <f t="shared" si="4"/>
        <v>0.64599999999999991</v>
      </c>
      <c r="T37" s="3" cm="1">
        <f t="array" ref="T37">MAX((TRANSPOSE(I37:O37)-I37:O37)/I37:O37)</f>
        <v>0.19938271604938268</v>
      </c>
      <c r="U37" s="3" cm="1">
        <f t="array" ref="U37">MAX((J37:O37-I37:N37)/I37:N37)</f>
        <v>0.12411890897946683</v>
      </c>
      <c r="V37" s="3" cm="1">
        <f t="array" ref="V37">MIN((TRANSPOSE(I37:O37)-I37:O37)/I37:O37)</f>
        <v>-0.16623777663407099</v>
      </c>
      <c r="W37" s="3" cm="1">
        <f t="array" ref="W37">MIN((J37:O37-I37:N37)/I37:N37)</f>
        <v>-5.0337457817772852E-2</v>
      </c>
      <c r="X37" s="3">
        <v>1.0975308641975308</v>
      </c>
      <c r="Y37" s="3">
        <v>1.0422839506172838</v>
      </c>
      <c r="Z37" s="3">
        <v>1.0259259259259259</v>
      </c>
      <c r="AA37" s="3">
        <v>1.0070987654320986</v>
      </c>
      <c r="AB37" s="3">
        <v>1.1320987654320986</v>
      </c>
      <c r="AC37" s="3">
        <f t="shared" si="5"/>
        <v>1.1993827160493826</v>
      </c>
    </row>
    <row r="38" spans="1:29" x14ac:dyDescent="0.3">
      <c r="A38">
        <v>3</v>
      </c>
      <c r="B38" t="s">
        <v>21</v>
      </c>
      <c r="C38" t="s">
        <v>129</v>
      </c>
      <c r="D38">
        <v>67</v>
      </c>
      <c r="E38" t="s">
        <v>130</v>
      </c>
      <c r="F38" t="s">
        <v>131</v>
      </c>
      <c r="G38" t="s">
        <v>519</v>
      </c>
      <c r="H38" s="4">
        <v>4.2</v>
      </c>
      <c r="I38" s="5">
        <v>4.6390000000000002</v>
      </c>
      <c r="J38" s="6">
        <v>7.8460000000000001</v>
      </c>
      <c r="K38" s="7">
        <v>4.1859999999999999</v>
      </c>
      <c r="L38" s="6">
        <v>5.1210000000000004</v>
      </c>
      <c r="M38" s="7">
        <v>3.5619999999999998</v>
      </c>
      <c r="N38" s="6">
        <v>4.1760000000000002</v>
      </c>
      <c r="O38" s="7">
        <v>3.8860000000000001</v>
      </c>
      <c r="P38" s="3">
        <f t="shared" si="1"/>
        <v>4.773714285714286</v>
      </c>
      <c r="Q38" s="3">
        <f t="shared" si="2"/>
        <v>7.8460000000000001</v>
      </c>
      <c r="R38" s="3">
        <f t="shared" si="3"/>
        <v>3.5619999999999998</v>
      </c>
      <c r="S38" s="3">
        <f t="shared" si="4"/>
        <v>4.2840000000000007</v>
      </c>
      <c r="T38" s="3" cm="1">
        <f t="array" ref="T38">MAX((TRANSPOSE(I38:O38)-I38:O38)/I38:O38)</f>
        <v>1.2026951151038745</v>
      </c>
      <c r="U38" s="3" cm="1">
        <f t="array" ref="U38">MAX((J38:O38-I38:N38)/I38:N38)</f>
        <v>0.69131278292735499</v>
      </c>
      <c r="V38" s="3" cm="1">
        <f t="array" ref="V38">MIN((TRANSPOSE(I38:O38)-I38:O38)/I38:O38)</f>
        <v>-0.54601070609227642</v>
      </c>
      <c r="W38" s="3" cm="1">
        <f t="array" ref="W38">MIN((J38:O38-I38:N38)/I38:N38)</f>
        <v>-0.4664797348967627</v>
      </c>
      <c r="X38" s="3">
        <v>1.6913127829273549</v>
      </c>
      <c r="Y38" s="3">
        <v>0.9023496443198965</v>
      </c>
      <c r="Z38" s="3">
        <v>1.1039017029532228</v>
      </c>
      <c r="AA38" s="3">
        <v>0.767837896098297</v>
      </c>
      <c r="AB38" s="3">
        <v>0.90019400732916577</v>
      </c>
      <c r="AC38" s="3">
        <f t="shared" si="5"/>
        <v>0.83768053459797365</v>
      </c>
    </row>
    <row r="39" spans="1:29" x14ac:dyDescent="0.3">
      <c r="A39">
        <v>2</v>
      </c>
      <c r="B39" t="s">
        <v>25</v>
      </c>
      <c r="C39" t="s">
        <v>132</v>
      </c>
      <c r="D39">
        <v>49</v>
      </c>
      <c r="E39" t="s">
        <v>133</v>
      </c>
      <c r="F39" t="s">
        <v>134</v>
      </c>
      <c r="G39" t="s">
        <v>519</v>
      </c>
      <c r="H39" s="4">
        <v>2.4</v>
      </c>
      <c r="I39" s="5">
        <v>1.78</v>
      </c>
      <c r="J39" s="6">
        <v>2.198</v>
      </c>
      <c r="K39" s="7">
        <v>1.9450000000000001</v>
      </c>
      <c r="L39" s="6">
        <v>2.2759999999999998</v>
      </c>
      <c r="M39" s="7">
        <v>1.706</v>
      </c>
      <c r="N39" s="6">
        <v>2.6520000000000001</v>
      </c>
      <c r="O39" s="7">
        <v>2.3580000000000001</v>
      </c>
      <c r="P39" s="3">
        <f t="shared" si="1"/>
        <v>2.1307142857142858</v>
      </c>
      <c r="Q39" s="3">
        <f t="shared" si="2"/>
        <v>2.6520000000000001</v>
      </c>
      <c r="R39" s="3">
        <f t="shared" si="3"/>
        <v>1.706</v>
      </c>
      <c r="S39" s="3">
        <f t="shared" si="4"/>
        <v>0.94600000000000017</v>
      </c>
      <c r="T39" s="3" cm="1">
        <f t="array" ref="T39">MAX((TRANSPOSE(I39:O39)-I39:O39)/I39:O39)</f>
        <v>0.55451348182883953</v>
      </c>
      <c r="U39" s="3" cm="1">
        <f t="array" ref="U39">MAX((J39:O39-I39:N39)/I39:N39)</f>
        <v>0.55451348182883953</v>
      </c>
      <c r="V39" s="3" cm="1">
        <f t="array" ref="V39">MIN((TRANSPOSE(I39:O39)-I39:O39)/I39:O39)</f>
        <v>-0.35671191553544501</v>
      </c>
      <c r="W39" s="3" cm="1">
        <f t="array" ref="W39">MIN((J39:O39-I39:N39)/I39:N39)</f>
        <v>-0.25043936731107203</v>
      </c>
      <c r="X39" s="3">
        <v>1.2348314606741573</v>
      </c>
      <c r="Y39" s="3">
        <v>1.0926966292134832</v>
      </c>
      <c r="Z39" s="3">
        <v>1.2786516853932584</v>
      </c>
      <c r="AA39" s="3">
        <v>0.95842696629213475</v>
      </c>
      <c r="AB39" s="3">
        <v>1.4898876404494383</v>
      </c>
      <c r="AC39" s="3">
        <f t="shared" si="5"/>
        <v>1.3247191011235955</v>
      </c>
    </row>
    <row r="40" spans="1:29" x14ac:dyDescent="0.3">
      <c r="A40">
        <v>1</v>
      </c>
      <c r="B40" t="s">
        <v>35</v>
      </c>
      <c r="C40" t="s">
        <v>135</v>
      </c>
      <c r="D40">
        <v>34</v>
      </c>
      <c r="E40" t="s">
        <v>136</v>
      </c>
      <c r="F40" t="s">
        <v>137</v>
      </c>
      <c r="G40" t="s">
        <v>519</v>
      </c>
      <c r="H40" s="4">
        <v>3.9</v>
      </c>
      <c r="I40" s="5">
        <v>2.875</v>
      </c>
      <c r="J40" s="6">
        <v>3.6280000000000001</v>
      </c>
      <c r="K40" s="7">
        <v>3.4390000000000001</v>
      </c>
      <c r="L40" s="6">
        <v>3.7170000000000001</v>
      </c>
      <c r="M40" s="7">
        <v>3.802</v>
      </c>
      <c r="N40" s="6">
        <v>3.4769999999999999</v>
      </c>
      <c r="O40" s="7">
        <v>3.82</v>
      </c>
      <c r="P40" s="3">
        <f t="shared" si="1"/>
        <v>3.5368571428571434</v>
      </c>
      <c r="Q40" s="3">
        <f t="shared" si="2"/>
        <v>3.82</v>
      </c>
      <c r="R40" s="3">
        <f t="shared" si="3"/>
        <v>2.875</v>
      </c>
      <c r="S40" s="3">
        <f t="shared" si="4"/>
        <v>0.94499999999999984</v>
      </c>
      <c r="T40" s="3" cm="1">
        <f t="array" ref="T40">MAX((TRANSPOSE(I40:O40)-I40:O40)/I40:O40)</f>
        <v>0.328695652173913</v>
      </c>
      <c r="U40" s="3" cm="1">
        <f t="array" ref="U40">MAX((J40:O40-I40:N40)/I40:N40)</f>
        <v>0.26191304347826089</v>
      </c>
      <c r="V40" s="3" cm="1">
        <f t="array" ref="V40">MIN((TRANSPOSE(I40:O40)-I40:O40)/I40:O40)</f>
        <v>-0.24738219895287955</v>
      </c>
      <c r="W40" s="3" cm="1">
        <f t="array" ref="W40">MIN((J40:O40-I40:N40)/I40:N40)</f>
        <v>-8.548132561809578E-2</v>
      </c>
      <c r="X40" s="3">
        <v>1.2619130434782608</v>
      </c>
      <c r="Y40" s="3">
        <v>1.1961739130434783</v>
      </c>
      <c r="Z40" s="3">
        <v>1.2928695652173914</v>
      </c>
      <c r="AA40" s="3">
        <v>1.3224347826086957</v>
      </c>
      <c r="AB40" s="3">
        <v>1.2093913043478259</v>
      </c>
      <c r="AC40" s="3">
        <f t="shared" si="5"/>
        <v>1.3286956521739131</v>
      </c>
    </row>
    <row r="41" spans="1:29" x14ac:dyDescent="0.3">
      <c r="A41">
        <v>1</v>
      </c>
      <c r="B41" t="s">
        <v>35</v>
      </c>
      <c r="C41" t="s">
        <v>138</v>
      </c>
      <c r="D41">
        <v>47</v>
      </c>
      <c r="E41" t="s">
        <v>139</v>
      </c>
      <c r="F41" t="s">
        <v>140</v>
      </c>
      <c r="G41" t="s">
        <v>519</v>
      </c>
      <c r="H41" s="4">
        <v>3.9</v>
      </c>
      <c r="I41" s="5">
        <v>3.9089999999999998</v>
      </c>
      <c r="J41" s="6">
        <v>5.3739999999999997</v>
      </c>
      <c r="K41" s="7">
        <v>4.0620000000000003</v>
      </c>
      <c r="L41" s="6">
        <v>4.1100000000000003</v>
      </c>
      <c r="M41" s="7">
        <v>3.6219999999999999</v>
      </c>
      <c r="N41" s="6">
        <v>3.5409999999999999</v>
      </c>
      <c r="O41" s="7">
        <v>3.7530000000000001</v>
      </c>
      <c r="P41" s="3">
        <f t="shared" si="1"/>
        <v>4.0529999999999999</v>
      </c>
      <c r="Q41" s="3">
        <f t="shared" si="2"/>
        <v>5.3739999999999997</v>
      </c>
      <c r="R41" s="3">
        <f t="shared" si="3"/>
        <v>3.5409999999999999</v>
      </c>
      <c r="S41" s="3">
        <f t="shared" si="4"/>
        <v>1.8329999999999997</v>
      </c>
      <c r="T41" s="3" cm="1">
        <f t="array" ref="T41">MAX((TRANSPOSE(I41:O41)-I41:O41)/I41:O41)</f>
        <v>0.51765038124823493</v>
      </c>
      <c r="U41" s="3" cm="1">
        <f t="array" ref="U41">MAX((J41:O41-I41:N41)/I41:N41)</f>
        <v>0.37477615758506011</v>
      </c>
      <c r="V41" s="3" cm="1">
        <f t="array" ref="V41">MIN((TRANSPOSE(I41:O41)-I41:O41)/I41:O41)</f>
        <v>-0.34108671380721994</v>
      </c>
      <c r="W41" s="3" cm="1">
        <f t="array" ref="W41">MIN((J41:O41-I41:N41)/I41:N41)</f>
        <v>-0.24413844436174162</v>
      </c>
      <c r="X41" s="3">
        <v>1.3747761575850601</v>
      </c>
      <c r="Y41" s="3">
        <v>1.0391404451266311</v>
      </c>
      <c r="Z41" s="3">
        <v>1.051419800460476</v>
      </c>
      <c r="AA41" s="3">
        <v>0.92657968789971856</v>
      </c>
      <c r="AB41" s="3">
        <v>0.90585827577385525</v>
      </c>
      <c r="AC41" s="3">
        <f t="shared" si="5"/>
        <v>0.96009209516500393</v>
      </c>
    </row>
    <row r="42" spans="1:29" x14ac:dyDescent="0.3">
      <c r="A42">
        <v>2</v>
      </c>
      <c r="B42" t="s">
        <v>25</v>
      </c>
      <c r="C42" t="s">
        <v>141</v>
      </c>
      <c r="D42">
        <v>113</v>
      </c>
      <c r="E42" t="s">
        <v>142</v>
      </c>
      <c r="F42" t="s">
        <v>143</v>
      </c>
      <c r="G42" t="s">
        <v>519</v>
      </c>
      <c r="H42" s="4">
        <v>10.3</v>
      </c>
      <c r="I42" s="5">
        <v>24.113</v>
      </c>
      <c r="J42" s="6">
        <v>17.338999999999999</v>
      </c>
      <c r="K42" s="7">
        <v>16.396000000000001</v>
      </c>
      <c r="L42" s="6">
        <v>12.906000000000001</v>
      </c>
      <c r="M42" s="7">
        <v>11.361000000000001</v>
      </c>
      <c r="N42" s="6">
        <v>9.3520000000000003</v>
      </c>
      <c r="O42" s="7">
        <v>9.5690000000000008</v>
      </c>
      <c r="P42" s="3">
        <f t="shared" si="1"/>
        <v>14.433714285714288</v>
      </c>
      <c r="Q42" s="3">
        <f t="shared" si="2"/>
        <v>24.113</v>
      </c>
      <c r="R42" s="3">
        <f t="shared" si="3"/>
        <v>9.3520000000000003</v>
      </c>
      <c r="S42" s="3">
        <f t="shared" si="4"/>
        <v>14.760999999999999</v>
      </c>
      <c r="T42" s="3" cm="1">
        <f t="array" ref="T42">MAX((TRANSPOSE(I42:O42)-I42:O42)/I42:O42)</f>
        <v>1.5783789563729682</v>
      </c>
      <c r="U42" s="3" cm="1">
        <f t="array" ref="U42">MAX((J42:O42-I42:N42)/I42:N42)</f>
        <v>2.3203592814371312E-2</v>
      </c>
      <c r="V42" s="3" cm="1">
        <f t="array" ref="V42">MIN((TRANSPOSE(I42:O42)-I42:O42)/I42:O42)</f>
        <v>-0.61215941608261104</v>
      </c>
      <c r="W42" s="3" cm="1">
        <f t="array" ref="W42">MIN((J42:O42-I42:N42)/I42:N42)</f>
        <v>-0.28092730062621829</v>
      </c>
      <c r="X42" s="3">
        <v>0.71907269937378171</v>
      </c>
      <c r="Y42" s="3">
        <v>0.67996516401940865</v>
      </c>
      <c r="Z42" s="3">
        <v>0.5352299589433086</v>
      </c>
      <c r="AA42" s="3">
        <v>0.47115663749844489</v>
      </c>
      <c r="AB42" s="3">
        <v>0.38784058391738896</v>
      </c>
      <c r="AC42" s="3">
        <f t="shared" si="5"/>
        <v>0.39683987890349609</v>
      </c>
    </row>
    <row r="43" spans="1:29" x14ac:dyDescent="0.3">
      <c r="A43">
        <v>2</v>
      </c>
      <c r="B43" t="s">
        <v>25</v>
      </c>
      <c r="C43" t="s">
        <v>144</v>
      </c>
      <c r="D43">
        <v>43</v>
      </c>
      <c r="E43" t="s">
        <v>145</v>
      </c>
      <c r="F43" t="s">
        <v>146</v>
      </c>
      <c r="G43" t="s">
        <v>519</v>
      </c>
      <c r="H43" s="4">
        <v>11.5</v>
      </c>
      <c r="I43" s="5">
        <v>31.327999999999999</v>
      </c>
      <c r="J43" s="6">
        <v>19.361999999999998</v>
      </c>
      <c r="K43" s="7">
        <v>15.531000000000001</v>
      </c>
      <c r="L43" s="6">
        <v>13.327</v>
      </c>
      <c r="M43" s="7">
        <v>12.789</v>
      </c>
      <c r="N43" s="6">
        <v>11.397</v>
      </c>
      <c r="O43" s="7">
        <v>10.661</v>
      </c>
      <c r="P43" s="3">
        <f t="shared" si="1"/>
        <v>16.342142857142857</v>
      </c>
      <c r="Q43" s="3">
        <f t="shared" si="2"/>
        <v>31.327999999999999</v>
      </c>
      <c r="R43" s="3">
        <f t="shared" si="3"/>
        <v>10.661</v>
      </c>
      <c r="S43" s="3">
        <f t="shared" si="4"/>
        <v>20.667000000000002</v>
      </c>
      <c r="T43" s="3" cm="1">
        <f t="array" ref="T43">MAX((TRANSPOSE(I43:O43)-I43:O43)/I43:O43)</f>
        <v>1.9385611105900011</v>
      </c>
      <c r="U43" s="3" cm="1">
        <f t="array" ref="U43">MAX((J43:O43-I43:N43)/I43:N43)</f>
        <v>-4.0369175358295206E-2</v>
      </c>
      <c r="V43" s="3" cm="1">
        <f t="array" ref="V43">MIN((TRANSPOSE(I43:O43)-I43:O43)/I43:O43)</f>
        <v>-0.65969739530132798</v>
      </c>
      <c r="W43" s="3" cm="1">
        <f t="array" ref="W43">MIN((J43:O43-I43:N43)/I43:N43)</f>
        <v>-0.38195863125638413</v>
      </c>
      <c r="X43" s="3">
        <v>0.61804136874361593</v>
      </c>
      <c r="Y43" s="3">
        <v>0.49575459652706849</v>
      </c>
      <c r="Z43" s="3">
        <v>0.42540219611848828</v>
      </c>
      <c r="AA43" s="3">
        <v>0.40822906026557709</v>
      </c>
      <c r="AB43" s="3">
        <v>0.36379596527068436</v>
      </c>
      <c r="AC43" s="3">
        <f t="shared" si="5"/>
        <v>0.34030260469867213</v>
      </c>
    </row>
    <row r="44" spans="1:29" x14ac:dyDescent="0.3">
      <c r="A44">
        <v>1</v>
      </c>
      <c r="B44" t="s">
        <v>35</v>
      </c>
      <c r="C44" t="s">
        <v>147</v>
      </c>
      <c r="D44">
        <v>16</v>
      </c>
      <c r="E44" t="s">
        <v>82</v>
      </c>
      <c r="F44" t="s">
        <v>148</v>
      </c>
      <c r="G44" t="s">
        <v>519</v>
      </c>
      <c r="H44" s="4">
        <v>4.5999999999999996</v>
      </c>
      <c r="I44" s="5">
        <v>4.3959999999999999</v>
      </c>
      <c r="J44" s="6">
        <v>5.8230000000000004</v>
      </c>
      <c r="K44" s="7">
        <v>4.4349999999999996</v>
      </c>
      <c r="L44" s="6">
        <v>4.6340000000000003</v>
      </c>
      <c r="M44" s="7">
        <v>4.5199999999999996</v>
      </c>
      <c r="N44" s="6">
        <v>4.3029999999999999</v>
      </c>
      <c r="O44" s="7">
        <v>5.0190000000000001</v>
      </c>
      <c r="P44" s="3">
        <f t="shared" si="1"/>
        <v>4.7328571428571431</v>
      </c>
      <c r="Q44" s="3">
        <f t="shared" si="2"/>
        <v>5.8230000000000004</v>
      </c>
      <c r="R44" s="3">
        <f t="shared" si="3"/>
        <v>4.3029999999999999</v>
      </c>
      <c r="S44" s="3">
        <f t="shared" si="4"/>
        <v>1.5200000000000005</v>
      </c>
      <c r="T44" s="3" cm="1">
        <f t="array" ref="T44">MAX((TRANSPOSE(I44:O44)-I44:O44)/I44:O44)</f>
        <v>0.35324192423890322</v>
      </c>
      <c r="U44" s="3" cm="1">
        <f t="array" ref="U44">MAX((J44:O44-I44:N44)/I44:N44)</f>
        <v>0.32461328480436774</v>
      </c>
      <c r="V44" s="3" cm="1">
        <f t="array" ref="V44">MIN((TRANSPOSE(I44:O44)-I44:O44)/I44:O44)</f>
        <v>-0.26103383135840635</v>
      </c>
      <c r="W44" s="3" cm="1">
        <f t="array" ref="W44">MIN((J44:O44-I44:N44)/I44:N44)</f>
        <v>-0.23836510389833432</v>
      </c>
      <c r="X44" s="3">
        <v>1.3246132848043677</v>
      </c>
      <c r="Y44" s="3">
        <v>1.0088717015468607</v>
      </c>
      <c r="Z44" s="3">
        <v>1.0541401273885351</v>
      </c>
      <c r="AA44" s="3">
        <v>1.0282074613284804</v>
      </c>
      <c r="AB44" s="3">
        <v>0.9788444040036397</v>
      </c>
      <c r="AC44" s="3">
        <f t="shared" si="5"/>
        <v>1.14171974522293</v>
      </c>
    </row>
    <row r="45" spans="1:29" x14ac:dyDescent="0.3">
      <c r="A45">
        <v>2</v>
      </c>
      <c r="B45" t="s">
        <v>25</v>
      </c>
      <c r="C45" t="s">
        <v>149</v>
      </c>
      <c r="D45">
        <v>21</v>
      </c>
      <c r="E45" t="s">
        <v>150</v>
      </c>
      <c r="F45" t="s">
        <v>151</v>
      </c>
      <c r="G45" t="s">
        <v>519</v>
      </c>
      <c r="H45" s="4">
        <v>2.1</v>
      </c>
      <c r="I45" s="5">
        <v>2.0840000000000001</v>
      </c>
      <c r="J45" s="6">
        <v>1.7689999999999999</v>
      </c>
      <c r="K45" s="7">
        <v>1.696</v>
      </c>
      <c r="L45" s="6">
        <v>2.0139999999999998</v>
      </c>
      <c r="M45" s="7">
        <v>2.125</v>
      </c>
      <c r="N45" s="6">
        <v>1.635</v>
      </c>
      <c r="O45" s="7">
        <v>1.6279999999999999</v>
      </c>
      <c r="P45" s="3">
        <f t="shared" si="1"/>
        <v>1.8501428571428569</v>
      </c>
      <c r="Q45" s="3">
        <f t="shared" si="2"/>
        <v>2.125</v>
      </c>
      <c r="R45" s="3">
        <f t="shared" si="3"/>
        <v>1.6279999999999999</v>
      </c>
      <c r="S45" s="3">
        <f t="shared" si="4"/>
        <v>0.49700000000000011</v>
      </c>
      <c r="T45" s="3" cm="1">
        <f t="array" ref="T45">MAX((TRANSPOSE(I45:O45)-I45:O45)/I45:O45)</f>
        <v>0.30528255528255538</v>
      </c>
      <c r="U45" s="3" cm="1">
        <f t="array" ref="U45">MAX((J45:O45-I45:N45)/I45:N45)</f>
        <v>0.18749999999999992</v>
      </c>
      <c r="V45" s="3" cm="1">
        <f t="array" ref="V45">MIN((TRANSPOSE(I45:O45)-I45:O45)/I45:O45)</f>
        <v>-0.23388235294117651</v>
      </c>
      <c r="W45" s="3" cm="1">
        <f t="array" ref="W45">MIN((J45:O45-I45:N45)/I45:N45)</f>
        <v>-0.23058823529411765</v>
      </c>
      <c r="X45" s="3">
        <v>0.8488483685220729</v>
      </c>
      <c r="Y45" s="3">
        <v>0.8138195777351247</v>
      </c>
      <c r="Z45" s="3">
        <v>0.9664107485604605</v>
      </c>
      <c r="AA45" s="3">
        <v>1.0196737044145874</v>
      </c>
      <c r="AB45" s="3">
        <v>0.78454894433781186</v>
      </c>
      <c r="AC45" s="3">
        <f t="shared" si="5"/>
        <v>0.78119001919385789</v>
      </c>
    </row>
    <row r="46" spans="1:29" x14ac:dyDescent="0.3">
      <c r="A46">
        <v>1</v>
      </c>
      <c r="B46" t="s">
        <v>35</v>
      </c>
      <c r="C46" t="s">
        <v>152</v>
      </c>
      <c r="D46">
        <v>18</v>
      </c>
      <c r="E46" t="s">
        <v>153</v>
      </c>
      <c r="F46" t="s">
        <v>154</v>
      </c>
      <c r="G46" t="s">
        <v>519</v>
      </c>
      <c r="H46" s="4">
        <v>3.7</v>
      </c>
      <c r="I46" s="5">
        <v>4.5170000000000003</v>
      </c>
      <c r="J46" s="6">
        <v>4.2709999999999999</v>
      </c>
      <c r="K46" s="7">
        <v>3.875</v>
      </c>
      <c r="L46" s="6">
        <v>3.7170000000000001</v>
      </c>
      <c r="M46" s="7">
        <v>3.802</v>
      </c>
      <c r="N46" s="6">
        <v>3.5409999999999999</v>
      </c>
      <c r="O46" s="7">
        <v>3.2879999999999998</v>
      </c>
      <c r="P46" s="3">
        <f t="shared" si="1"/>
        <v>3.8587142857142855</v>
      </c>
      <c r="Q46" s="3">
        <f t="shared" si="2"/>
        <v>4.5170000000000003</v>
      </c>
      <c r="R46" s="3">
        <f t="shared" si="3"/>
        <v>3.2879999999999998</v>
      </c>
      <c r="S46" s="3">
        <f t="shared" si="4"/>
        <v>1.2290000000000005</v>
      </c>
      <c r="T46" s="3" cm="1">
        <f t="array" ref="T46">MAX((TRANSPOSE(I46:O46)-I46:O46)/I46:O46)</f>
        <v>0.37378345498783472</v>
      </c>
      <c r="U46" s="3" cm="1">
        <f t="array" ref="U46">MAX((J46:O46-I46:N46)/I46:N46)</f>
        <v>2.2867904223836416E-2</v>
      </c>
      <c r="V46" s="3" cm="1">
        <f t="array" ref="V46">MIN((TRANSPOSE(I46:O46)-I46:O46)/I46:O46)</f>
        <v>-0.27208324108921861</v>
      </c>
      <c r="W46" s="3" cm="1">
        <f t="array" ref="W46">MIN((J46:O46-I46:N46)/I46:N46)</f>
        <v>-9.2718332943104637E-2</v>
      </c>
      <c r="X46" s="3">
        <v>0.94553907460704001</v>
      </c>
      <c r="Y46" s="3">
        <v>0.85787026787690934</v>
      </c>
      <c r="Z46" s="3">
        <v>0.82289129953508966</v>
      </c>
      <c r="AA46" s="3">
        <v>0.84170909895948631</v>
      </c>
      <c r="AB46" s="3">
        <v>0.78392738543280926</v>
      </c>
      <c r="AC46" s="3">
        <f t="shared" si="5"/>
        <v>0.72791675891078145</v>
      </c>
    </row>
    <row r="47" spans="1:29" x14ac:dyDescent="0.3">
      <c r="A47">
        <v>2</v>
      </c>
      <c r="B47" t="s">
        <v>25</v>
      </c>
      <c r="C47" t="s">
        <v>155</v>
      </c>
      <c r="D47">
        <v>36</v>
      </c>
      <c r="E47" t="s">
        <v>156</v>
      </c>
      <c r="F47" t="s">
        <v>157</v>
      </c>
      <c r="G47" t="s">
        <v>519</v>
      </c>
      <c r="H47" s="4">
        <v>3.2</v>
      </c>
      <c r="I47" s="5">
        <v>2.206</v>
      </c>
      <c r="J47" s="6">
        <v>2.984</v>
      </c>
      <c r="K47" s="7">
        <v>2.63</v>
      </c>
      <c r="L47" s="6">
        <v>3.0619999999999998</v>
      </c>
      <c r="M47" s="7">
        <v>2.6040000000000001</v>
      </c>
      <c r="N47" s="6">
        <v>3.0960000000000001</v>
      </c>
      <c r="O47" s="7">
        <v>3.1549999999999998</v>
      </c>
      <c r="P47" s="3">
        <f t="shared" si="1"/>
        <v>2.8195714285714288</v>
      </c>
      <c r="Q47" s="3">
        <f t="shared" si="2"/>
        <v>3.1549999999999998</v>
      </c>
      <c r="R47" s="3">
        <f t="shared" si="3"/>
        <v>2.206</v>
      </c>
      <c r="S47" s="3">
        <f t="shared" si="4"/>
        <v>0.94899999999999984</v>
      </c>
      <c r="T47" s="3" cm="1">
        <f t="array" ref="T47">MAX((TRANSPOSE(I47:O47)-I47:O47)/I47:O47)</f>
        <v>0.43019038984587482</v>
      </c>
      <c r="U47" s="3" cm="1">
        <f t="array" ref="U47">MAX((J47:O47-I47:N47)/I47:N47)</f>
        <v>0.35267452402538535</v>
      </c>
      <c r="V47" s="3" cm="1">
        <f t="array" ref="V47">MIN((TRANSPOSE(I47:O47)-I47:O47)/I47:O47)</f>
        <v>-0.30079239302694133</v>
      </c>
      <c r="W47" s="3" cm="1">
        <f t="array" ref="W47">MIN((J47:O47-I47:N47)/I47:N47)</f>
        <v>-0.14957544088830821</v>
      </c>
      <c r="X47" s="3">
        <v>1.3526745240253852</v>
      </c>
      <c r="Y47" s="3">
        <v>1.1922030825022665</v>
      </c>
      <c r="Z47" s="3">
        <v>1.3880326382592927</v>
      </c>
      <c r="AA47" s="3">
        <v>1.1804170444242974</v>
      </c>
      <c r="AB47" s="3">
        <v>1.4034451495920217</v>
      </c>
      <c r="AC47" s="3">
        <f t="shared" si="5"/>
        <v>1.4301903898458748</v>
      </c>
    </row>
    <row r="48" spans="1:29" x14ac:dyDescent="0.3">
      <c r="A48">
        <v>2</v>
      </c>
      <c r="B48" t="s">
        <v>25</v>
      </c>
      <c r="C48" t="s">
        <v>158</v>
      </c>
      <c r="D48">
        <v>52</v>
      </c>
      <c r="E48" t="s">
        <v>107</v>
      </c>
      <c r="F48" t="s">
        <v>159</v>
      </c>
      <c r="G48" t="s">
        <v>519</v>
      </c>
      <c r="H48" s="4">
        <v>2.7</v>
      </c>
      <c r="I48" s="5">
        <v>2.5710000000000002</v>
      </c>
      <c r="J48" s="6">
        <v>3.27</v>
      </c>
      <c r="K48" s="7">
        <v>2.3809999999999998</v>
      </c>
      <c r="L48" s="6">
        <v>2.8</v>
      </c>
      <c r="M48" s="7">
        <v>2.3050000000000002</v>
      </c>
      <c r="N48" s="6">
        <v>2.5880000000000001</v>
      </c>
      <c r="O48" s="7">
        <v>2.3580000000000001</v>
      </c>
      <c r="P48" s="3">
        <f t="shared" si="1"/>
        <v>2.6104285714285713</v>
      </c>
      <c r="Q48" s="3">
        <f t="shared" si="2"/>
        <v>3.27</v>
      </c>
      <c r="R48" s="3">
        <f t="shared" si="3"/>
        <v>2.3050000000000002</v>
      </c>
      <c r="S48" s="3">
        <f t="shared" si="4"/>
        <v>0.96499999999999986</v>
      </c>
      <c r="T48" s="3" cm="1">
        <f t="array" ref="T48">MAX((TRANSPOSE(I48:O48)-I48:O48)/I48:O48)</f>
        <v>0.41865509761388275</v>
      </c>
      <c r="U48" s="3" cm="1">
        <f t="array" ref="U48">MAX((J48:O48-I48:N48)/I48:N48)</f>
        <v>0.27187864644107346</v>
      </c>
      <c r="V48" s="3" cm="1">
        <f t="array" ref="V48">MIN((TRANSPOSE(I48:O48)-I48:O48)/I48:O48)</f>
        <v>-0.2951070336391437</v>
      </c>
      <c r="W48" s="3" cm="1">
        <f t="array" ref="W48">MIN((J48:O48-I48:N48)/I48:N48)</f>
        <v>-0.27186544342507651</v>
      </c>
      <c r="X48" s="3">
        <v>1.2718786464410734</v>
      </c>
      <c r="Y48" s="3">
        <v>0.92609879424348485</v>
      </c>
      <c r="Z48" s="3">
        <v>1.0890704006223257</v>
      </c>
      <c r="AA48" s="3">
        <v>0.89653831194087907</v>
      </c>
      <c r="AB48" s="3">
        <v>1.0066122131466355</v>
      </c>
      <c r="AC48" s="3">
        <f t="shared" si="5"/>
        <v>0.91715285880980157</v>
      </c>
    </row>
    <row r="49" spans="1:29" x14ac:dyDescent="0.3">
      <c r="A49">
        <v>2</v>
      </c>
      <c r="B49" t="s">
        <v>25</v>
      </c>
      <c r="C49" t="s">
        <v>160</v>
      </c>
      <c r="D49">
        <v>63</v>
      </c>
      <c r="E49" t="s">
        <v>161</v>
      </c>
      <c r="F49" t="s">
        <v>162</v>
      </c>
      <c r="G49" t="s">
        <v>519</v>
      </c>
      <c r="H49" s="4">
        <v>4.9000000000000004</v>
      </c>
      <c r="I49" s="5">
        <v>4.0919999999999996</v>
      </c>
      <c r="J49" s="6">
        <v>5.149</v>
      </c>
      <c r="K49" s="7">
        <v>4.4349999999999996</v>
      </c>
      <c r="L49" s="6">
        <v>5.9619999999999997</v>
      </c>
      <c r="M49" s="7">
        <v>4.4610000000000003</v>
      </c>
      <c r="N49" s="6">
        <v>4.3029999999999999</v>
      </c>
      <c r="O49" s="7">
        <v>4.5510000000000002</v>
      </c>
      <c r="P49" s="3">
        <f t="shared" si="1"/>
        <v>4.7075714285714279</v>
      </c>
      <c r="Q49" s="3">
        <f t="shared" si="2"/>
        <v>5.9619999999999997</v>
      </c>
      <c r="R49" s="3">
        <f t="shared" si="3"/>
        <v>4.0919999999999996</v>
      </c>
      <c r="S49" s="3">
        <f t="shared" si="4"/>
        <v>1.87</v>
      </c>
      <c r="T49" s="3" cm="1">
        <f t="array" ref="T49">MAX((TRANSPOSE(I49:O49)-I49:O49)/I49:O49)</f>
        <v>0.45698924731182805</v>
      </c>
      <c r="U49" s="3" cm="1">
        <f t="array" ref="U49">MAX((J49:O49-I49:N49)/I49:N49)</f>
        <v>0.34430665163472385</v>
      </c>
      <c r="V49" s="3" cm="1">
        <f t="array" ref="V49">MIN((TRANSPOSE(I49:O49)-I49:O49)/I49:O49)</f>
        <v>-0.31365313653136534</v>
      </c>
      <c r="W49" s="3" cm="1">
        <f t="array" ref="W49">MIN((J49:O49-I49:N49)/I49:N49)</f>
        <v>-0.25176115397517601</v>
      </c>
      <c r="X49" s="3">
        <v>1.2583088954056698</v>
      </c>
      <c r="Y49" s="3">
        <v>1.0838220918866079</v>
      </c>
      <c r="Z49" s="3">
        <v>1.456989247311828</v>
      </c>
      <c r="AA49" s="3">
        <v>1.090175953079179</v>
      </c>
      <c r="AB49" s="3">
        <v>1.0515640273704792</v>
      </c>
      <c r="AC49" s="3">
        <f t="shared" si="5"/>
        <v>1.1121700879765397</v>
      </c>
    </row>
    <row r="50" spans="1:29" x14ac:dyDescent="0.3">
      <c r="A50">
        <v>2</v>
      </c>
      <c r="B50" t="s">
        <v>25</v>
      </c>
      <c r="C50" t="s">
        <v>163</v>
      </c>
      <c r="D50">
        <v>64</v>
      </c>
      <c r="E50" t="s">
        <v>164</v>
      </c>
      <c r="F50" t="s">
        <v>165</v>
      </c>
      <c r="G50" t="s">
        <v>519</v>
      </c>
      <c r="H50" s="4">
        <v>5.5</v>
      </c>
      <c r="I50" s="5">
        <v>5.0999999999999996</v>
      </c>
      <c r="J50" s="6">
        <v>6.4980000000000002</v>
      </c>
      <c r="K50" s="7">
        <v>4.4349999999999996</v>
      </c>
      <c r="L50" s="6">
        <v>4.3719999999999999</v>
      </c>
      <c r="M50" s="7">
        <v>4.6399999999999997</v>
      </c>
      <c r="N50" s="6">
        <v>6.2850000000000001</v>
      </c>
      <c r="O50" s="7">
        <v>6.2930000000000001</v>
      </c>
      <c r="P50" s="3">
        <f t="shared" si="1"/>
        <v>5.3747142857142851</v>
      </c>
      <c r="Q50" s="3">
        <f t="shared" si="2"/>
        <v>6.4980000000000002</v>
      </c>
      <c r="R50" s="3">
        <f t="shared" si="3"/>
        <v>4.3719999999999999</v>
      </c>
      <c r="S50" s="3">
        <f t="shared" si="4"/>
        <v>2.1260000000000003</v>
      </c>
      <c r="T50" s="3" cm="1">
        <f t="array" ref="T50">MAX((TRANSPOSE(I50:O50)-I50:O50)/I50:O50)</f>
        <v>0.48627630375114372</v>
      </c>
      <c r="U50" s="3" cm="1">
        <f t="array" ref="U50">MAX((J50:O50-I50:N50)/I50:N50)</f>
        <v>0.35452586206896564</v>
      </c>
      <c r="V50" s="3" cm="1">
        <f t="array" ref="V50">MIN((TRANSPOSE(I50:O50)-I50:O50)/I50:O50)</f>
        <v>-0.32717759310557099</v>
      </c>
      <c r="W50" s="3" cm="1">
        <f t="array" ref="W50">MIN((J50:O50-I50:N50)/I50:N50)</f>
        <v>-0.31748230224684526</v>
      </c>
      <c r="X50" s="3">
        <v>1.2741176470588236</v>
      </c>
      <c r="Y50" s="3">
        <v>0.86960784313725492</v>
      </c>
      <c r="Z50" s="3">
        <v>0.85725490196078435</v>
      </c>
      <c r="AA50" s="3">
        <v>0.90980392156862744</v>
      </c>
      <c r="AB50" s="3">
        <v>1.2323529411764707</v>
      </c>
      <c r="AC50" s="3">
        <f t="shared" si="5"/>
        <v>1.2339215686274512</v>
      </c>
    </row>
    <row r="51" spans="1:29" x14ac:dyDescent="0.3">
      <c r="A51">
        <v>3</v>
      </c>
      <c r="B51" t="s">
        <v>21</v>
      </c>
      <c r="C51" t="s">
        <v>166</v>
      </c>
      <c r="D51">
        <v>58</v>
      </c>
      <c r="E51" t="s">
        <v>73</v>
      </c>
      <c r="F51" t="s">
        <v>167</v>
      </c>
      <c r="G51" t="s">
        <v>519</v>
      </c>
      <c r="H51" s="4">
        <v>6.6</v>
      </c>
      <c r="I51" s="5">
        <v>7.1</v>
      </c>
      <c r="J51" s="6">
        <v>9.4190000000000005</v>
      </c>
      <c r="K51" s="7">
        <v>7.61</v>
      </c>
      <c r="L51" s="6">
        <v>8.2769999999999992</v>
      </c>
      <c r="M51" s="7">
        <v>5.6520000000000001</v>
      </c>
      <c r="N51" s="6">
        <v>6.694</v>
      </c>
      <c r="O51" s="7">
        <v>4.8369999999999997</v>
      </c>
      <c r="P51" s="3">
        <f t="shared" si="1"/>
        <v>7.0841428571428571</v>
      </c>
      <c r="Q51" s="3">
        <f t="shared" si="2"/>
        <v>9.4190000000000005</v>
      </c>
      <c r="R51" s="3">
        <f t="shared" si="3"/>
        <v>4.8369999999999997</v>
      </c>
      <c r="S51" s="3">
        <f t="shared" si="4"/>
        <v>4.5820000000000007</v>
      </c>
      <c r="T51" s="3" cm="1">
        <f t="array" ref="T51">MAX((TRANSPOSE(I51:O51)-I51:O51)/I51:O51)</f>
        <v>0.94728137275170576</v>
      </c>
      <c r="U51" s="3" cm="1">
        <f t="array" ref="U51">MAX((J51:O51-I51:N51)/I51:N51)</f>
        <v>0.32661971830985931</v>
      </c>
      <c r="V51" s="3" cm="1">
        <f t="array" ref="V51">MIN((TRANSPOSE(I51:O51)-I51:O51)/I51:O51)</f>
        <v>-0.48646353116042046</v>
      </c>
      <c r="W51" s="3" cm="1">
        <f t="array" ref="W51">MIN((J51:O51-I51:N51)/I51:N51)</f>
        <v>-0.31714389271475163</v>
      </c>
      <c r="X51" s="3">
        <v>1.3266197183098594</v>
      </c>
      <c r="Y51" s="3">
        <v>1.0718309859154931</v>
      </c>
      <c r="Z51" s="3">
        <v>1.1657746478873239</v>
      </c>
      <c r="AA51" s="3">
        <v>0.79605633802816911</v>
      </c>
      <c r="AB51" s="3">
        <v>0.94281690140845076</v>
      </c>
      <c r="AC51" s="3">
        <f t="shared" si="5"/>
        <v>0.68126760563380284</v>
      </c>
    </row>
    <row r="52" spans="1:29" x14ac:dyDescent="0.3">
      <c r="A52">
        <v>2</v>
      </c>
      <c r="B52" t="s">
        <v>25</v>
      </c>
      <c r="C52" t="s">
        <v>168</v>
      </c>
      <c r="D52">
        <v>5</v>
      </c>
      <c r="E52" t="s">
        <v>169</v>
      </c>
      <c r="F52" t="s">
        <v>170</v>
      </c>
      <c r="G52" t="s">
        <v>519</v>
      </c>
      <c r="H52" s="4">
        <v>3.9</v>
      </c>
      <c r="I52" s="5">
        <v>4.1520000000000001</v>
      </c>
      <c r="J52" s="6">
        <v>4.4859999999999998</v>
      </c>
      <c r="K52" s="7">
        <v>3.9369999999999998</v>
      </c>
      <c r="L52" s="6">
        <v>4.0449999999999999</v>
      </c>
      <c r="M52" s="7">
        <v>3.6819999999999999</v>
      </c>
      <c r="N52" s="6">
        <v>3.5409999999999999</v>
      </c>
      <c r="O52" s="7">
        <v>3.6869999999999998</v>
      </c>
      <c r="P52" s="3">
        <f t="shared" si="1"/>
        <v>3.9328571428571424</v>
      </c>
      <c r="Q52" s="3">
        <f t="shared" si="2"/>
        <v>4.4859999999999998</v>
      </c>
      <c r="R52" s="3">
        <f t="shared" si="3"/>
        <v>3.5409999999999999</v>
      </c>
      <c r="S52" s="3">
        <f t="shared" si="4"/>
        <v>0.94499999999999984</v>
      </c>
      <c r="T52" s="3" cm="1">
        <f t="array" ref="T52">MAX((TRANSPOSE(I52:O52)-I52:O52)/I52:O52)</f>
        <v>0.26687376447331257</v>
      </c>
      <c r="U52" s="3" cm="1">
        <f t="array" ref="U52">MAX((J52:O52-I52:N52)/I52:N52)</f>
        <v>8.0443159922928623E-2</v>
      </c>
      <c r="V52" s="3" cm="1">
        <f t="array" ref="V52">MIN((TRANSPOSE(I52:O52)-I52:O52)/I52:O52)</f>
        <v>-0.21065537226928219</v>
      </c>
      <c r="W52" s="3" cm="1">
        <f t="array" ref="W52">MIN((J52:O52-I52:N52)/I52:N52)</f>
        <v>-0.12238074008024966</v>
      </c>
      <c r="X52" s="3">
        <v>1.0804431599229287</v>
      </c>
      <c r="Y52" s="3">
        <v>0.94821772639691704</v>
      </c>
      <c r="Z52" s="3">
        <v>0.97422928709055867</v>
      </c>
      <c r="AA52" s="3">
        <v>0.8868015414258188</v>
      </c>
      <c r="AB52" s="3">
        <v>0.85284200385356446</v>
      </c>
      <c r="AC52" s="3">
        <f t="shared" si="5"/>
        <v>0.88800578034682076</v>
      </c>
    </row>
    <row r="53" spans="1:29" x14ac:dyDescent="0.3">
      <c r="A53">
        <v>3</v>
      </c>
      <c r="B53" t="s">
        <v>21</v>
      </c>
      <c r="C53" t="s">
        <v>171</v>
      </c>
      <c r="D53">
        <v>56</v>
      </c>
      <c r="E53" t="s">
        <v>172</v>
      </c>
      <c r="F53" t="s">
        <v>173</v>
      </c>
      <c r="G53" t="s">
        <v>519</v>
      </c>
      <c r="H53" s="4">
        <v>7.9</v>
      </c>
      <c r="I53" s="5">
        <v>5.5</v>
      </c>
      <c r="J53" s="6">
        <v>8.9689999999999994</v>
      </c>
      <c r="K53" s="7">
        <v>9.0950000000000006</v>
      </c>
      <c r="L53" s="6">
        <v>10.590999999999999</v>
      </c>
      <c r="M53" s="7">
        <v>8.2690000000000001</v>
      </c>
      <c r="N53" s="6">
        <v>8.125</v>
      </c>
      <c r="O53" s="7">
        <v>6.1109999999999998</v>
      </c>
      <c r="P53" s="3">
        <f t="shared" si="1"/>
        <v>8.0942857142857143</v>
      </c>
      <c r="Q53" s="3">
        <f t="shared" si="2"/>
        <v>10.590999999999999</v>
      </c>
      <c r="R53" s="3">
        <f t="shared" si="3"/>
        <v>5.5</v>
      </c>
      <c r="S53" s="3">
        <f t="shared" si="4"/>
        <v>5.0909999999999993</v>
      </c>
      <c r="T53" s="3" cm="1">
        <f t="array" ref="T53">MAX((TRANSPOSE(I53:O53)-I53:O53)/I53:O53)</f>
        <v>0.92563636363636348</v>
      </c>
      <c r="U53" s="3" cm="1">
        <f t="array" ref="U53">MAX((J53:O53-I53:N53)/I53:N53)</f>
        <v>0.63072727272727258</v>
      </c>
      <c r="V53" s="3" cm="1">
        <f t="array" ref="V53">MIN((TRANSPOSE(I53:O53)-I53:O53)/I53:O53)</f>
        <v>-0.48069115286564063</v>
      </c>
      <c r="W53" s="3" cm="1">
        <f t="array" ref="W53">MIN((J53:O53-I53:N53)/I53:N53)</f>
        <v>-0.24787692307692311</v>
      </c>
      <c r="X53" s="3">
        <v>1.6307272727272726</v>
      </c>
      <c r="Y53" s="3">
        <v>1.6536363636363638</v>
      </c>
      <c r="Z53" s="3">
        <v>1.9256363636363636</v>
      </c>
      <c r="AA53" s="3">
        <v>1.5034545454545454</v>
      </c>
      <c r="AB53" s="3">
        <v>1.4772727272727273</v>
      </c>
      <c r="AC53" s="3">
        <f t="shared" si="5"/>
        <v>1.1110909090909091</v>
      </c>
    </row>
    <row r="54" spans="1:29" x14ac:dyDescent="0.3">
      <c r="A54">
        <v>2</v>
      </c>
      <c r="B54" t="s">
        <v>25</v>
      </c>
      <c r="C54" t="s">
        <v>174</v>
      </c>
      <c r="D54">
        <v>22</v>
      </c>
      <c r="E54" t="s">
        <v>104</v>
      </c>
      <c r="F54" t="s">
        <v>175</v>
      </c>
      <c r="G54" t="s">
        <v>519</v>
      </c>
      <c r="H54" s="4">
        <v>3.4</v>
      </c>
      <c r="I54" s="5">
        <v>2.875</v>
      </c>
      <c r="J54" s="6">
        <v>3.1989999999999998</v>
      </c>
      <c r="K54" s="7">
        <v>2.9409999999999998</v>
      </c>
      <c r="L54" s="6">
        <v>2.8660000000000001</v>
      </c>
      <c r="M54" s="7">
        <v>2.7839999999999998</v>
      </c>
      <c r="N54" s="6">
        <v>2.8420000000000001</v>
      </c>
      <c r="O54" s="7">
        <v>3.5539999999999998</v>
      </c>
      <c r="P54" s="3">
        <f t="shared" si="1"/>
        <v>3.008714285714285</v>
      </c>
      <c r="Q54" s="3">
        <f t="shared" si="2"/>
        <v>3.5539999999999998</v>
      </c>
      <c r="R54" s="3">
        <f t="shared" si="3"/>
        <v>2.7839999999999998</v>
      </c>
      <c r="S54" s="3">
        <f t="shared" si="4"/>
        <v>0.77</v>
      </c>
      <c r="T54" s="3" cm="1">
        <f t="array" ref="T54">MAX((TRANSPOSE(I54:O54)-I54:O54)/I54:O54)</f>
        <v>0.27658045977011497</v>
      </c>
      <c r="U54" s="3" cm="1">
        <f t="array" ref="U54">MAX((J54:O54-I54:N54)/I54:N54)</f>
        <v>0.25052779732582681</v>
      </c>
      <c r="V54" s="3" cm="1">
        <f t="array" ref="V54">MIN((TRANSPOSE(I54:O54)-I54:O54)/I54:O54)</f>
        <v>-0.21665728756330896</v>
      </c>
      <c r="W54" s="3" cm="1">
        <f t="array" ref="W54">MIN((J54:O54-I54:N54)/I54:N54)</f>
        <v>-8.0650203188496417E-2</v>
      </c>
      <c r="X54" s="3">
        <v>1.1126956521739131</v>
      </c>
      <c r="Y54" s="3">
        <v>1.0229565217391303</v>
      </c>
      <c r="Z54" s="3">
        <v>0.99686956521739134</v>
      </c>
      <c r="AA54" s="3">
        <v>0.96834782608695646</v>
      </c>
      <c r="AB54" s="3">
        <v>0.98852173913043484</v>
      </c>
      <c r="AC54" s="3">
        <f t="shared" si="5"/>
        <v>1.2361739130434781</v>
      </c>
    </row>
    <row r="55" spans="1:29" x14ac:dyDescent="0.3">
      <c r="A55">
        <v>1</v>
      </c>
      <c r="B55" t="s">
        <v>35</v>
      </c>
      <c r="C55" t="s">
        <v>176</v>
      </c>
      <c r="D55">
        <v>43</v>
      </c>
      <c r="E55" t="s">
        <v>145</v>
      </c>
      <c r="F55" t="s">
        <v>177</v>
      </c>
      <c r="G55" t="s">
        <v>519</v>
      </c>
      <c r="H55" s="4">
        <v>7.1</v>
      </c>
      <c r="I55" s="5">
        <v>10.7</v>
      </c>
      <c r="J55" s="6">
        <v>9.4190000000000005</v>
      </c>
      <c r="K55" s="7">
        <v>8.8480000000000008</v>
      </c>
      <c r="L55" s="6">
        <v>8.2769999999999992</v>
      </c>
      <c r="M55" s="7">
        <v>7.3170000000000002</v>
      </c>
      <c r="N55" s="6">
        <v>5.4669999999999996</v>
      </c>
      <c r="O55" s="7">
        <v>6.1109999999999998</v>
      </c>
      <c r="P55" s="3">
        <f t="shared" si="1"/>
        <v>8.019857142857143</v>
      </c>
      <c r="Q55" s="3">
        <f t="shared" si="2"/>
        <v>10.7</v>
      </c>
      <c r="R55" s="3">
        <f t="shared" si="3"/>
        <v>5.4669999999999996</v>
      </c>
      <c r="S55" s="3">
        <f t="shared" si="4"/>
        <v>5.2329999999999997</v>
      </c>
      <c r="T55" s="3" cm="1">
        <f t="array" ref="T55">MAX((TRANSPOSE(I55:O55)-I55:O55)/I55:O55)</f>
        <v>0.95719773184561918</v>
      </c>
      <c r="U55" s="3" cm="1">
        <f t="array" ref="U55">MAX((J55:O55-I55:N55)/I55:N55)</f>
        <v>0.11779769526248403</v>
      </c>
      <c r="V55" s="3" cm="1">
        <f t="array" ref="V55">MIN((TRANSPOSE(I55:O55)-I55:O55)/I55:O55)</f>
        <v>-0.48906542056074764</v>
      </c>
      <c r="W55" s="3" cm="1">
        <f t="array" ref="W55">MIN((J55:O55-I55:N55)/I55:N55)</f>
        <v>-0.25283586169195033</v>
      </c>
      <c r="X55" s="3">
        <v>0.88028037383177582</v>
      </c>
      <c r="Y55" s="3">
        <v>0.82691588785046743</v>
      </c>
      <c r="Z55" s="3">
        <v>0.77355140186915883</v>
      </c>
      <c r="AA55" s="3">
        <v>0.68383177570093467</v>
      </c>
      <c r="AB55" s="3">
        <v>0.51093457943925236</v>
      </c>
      <c r="AC55" s="3">
        <f t="shared" si="5"/>
        <v>0.57112149532710277</v>
      </c>
    </row>
    <row r="56" spans="1:29" x14ac:dyDescent="0.3">
      <c r="A56">
        <v>2</v>
      </c>
      <c r="B56" t="s">
        <v>25</v>
      </c>
      <c r="C56" t="s">
        <v>178</v>
      </c>
      <c r="D56">
        <v>24</v>
      </c>
      <c r="E56" t="s">
        <v>179</v>
      </c>
      <c r="F56" t="s">
        <v>180</v>
      </c>
      <c r="G56" t="s">
        <v>519</v>
      </c>
      <c r="H56" s="4">
        <v>3</v>
      </c>
      <c r="I56" s="5">
        <v>2.875</v>
      </c>
      <c r="J56" s="6">
        <v>3.27</v>
      </c>
      <c r="K56" s="7">
        <v>3.0659999999999998</v>
      </c>
      <c r="L56" s="6">
        <v>2.931</v>
      </c>
      <c r="M56" s="7">
        <v>2.7839999999999998</v>
      </c>
      <c r="N56" s="6">
        <v>2.9689999999999999</v>
      </c>
      <c r="O56" s="7">
        <v>2.69</v>
      </c>
      <c r="P56" s="3">
        <f t="shared" si="1"/>
        <v>2.9407142857142858</v>
      </c>
      <c r="Q56" s="3">
        <f t="shared" si="2"/>
        <v>3.27</v>
      </c>
      <c r="R56" s="3">
        <f t="shared" si="3"/>
        <v>2.69</v>
      </c>
      <c r="S56" s="3">
        <f t="shared" si="4"/>
        <v>0.58000000000000007</v>
      </c>
      <c r="T56" s="3" cm="1">
        <f t="array" ref="T56">MAX((TRANSPOSE(I56:O56)-I56:O56)/I56:O56)</f>
        <v>0.21561338289962828</v>
      </c>
      <c r="U56" s="3" cm="1">
        <f t="array" ref="U56">MAX((J56:O56-I56:N56)/I56:N56)</f>
        <v>0.13739130434782609</v>
      </c>
      <c r="V56" s="3" cm="1">
        <f t="array" ref="V56">MIN((TRANSPOSE(I56:O56)-I56:O56)/I56:O56)</f>
        <v>-0.17737003058103978</v>
      </c>
      <c r="W56" s="3" cm="1">
        <f t="array" ref="W56">MIN((J56:O56-I56:N56)/I56:N56)</f>
        <v>-9.3971034018187918E-2</v>
      </c>
      <c r="X56" s="3">
        <v>1.1373913043478261</v>
      </c>
      <c r="Y56" s="3">
        <v>1.0664347826086955</v>
      </c>
      <c r="Z56" s="3">
        <v>1.0194782608695652</v>
      </c>
      <c r="AA56" s="3">
        <v>0.96834782608695646</v>
      </c>
      <c r="AB56" s="3">
        <v>1.032695652173913</v>
      </c>
      <c r="AC56" s="3">
        <f t="shared" si="5"/>
        <v>0.93565217391304345</v>
      </c>
    </row>
    <row r="57" spans="1:29" x14ac:dyDescent="0.3">
      <c r="A57">
        <v>2</v>
      </c>
      <c r="B57" t="s">
        <v>25</v>
      </c>
      <c r="C57" t="s">
        <v>181</v>
      </c>
      <c r="D57">
        <v>9</v>
      </c>
      <c r="E57" t="s">
        <v>182</v>
      </c>
      <c r="F57" t="s">
        <v>183</v>
      </c>
      <c r="G57" t="s">
        <v>519</v>
      </c>
      <c r="H57" s="4">
        <v>2.4</v>
      </c>
      <c r="I57" s="5">
        <v>1.597</v>
      </c>
      <c r="J57" s="6">
        <v>2.556</v>
      </c>
      <c r="K57" s="7">
        <v>2.5680000000000001</v>
      </c>
      <c r="L57" s="6">
        <v>2.2759999999999998</v>
      </c>
      <c r="M57" s="7">
        <v>1.946</v>
      </c>
      <c r="N57" s="6">
        <v>1.635</v>
      </c>
      <c r="O57" s="7">
        <v>2.2250000000000001</v>
      </c>
      <c r="P57" s="3">
        <f t="shared" si="1"/>
        <v>2.1147142857142858</v>
      </c>
      <c r="Q57" s="3">
        <f t="shared" si="2"/>
        <v>2.5680000000000001</v>
      </c>
      <c r="R57" s="3">
        <f t="shared" si="3"/>
        <v>1.597</v>
      </c>
      <c r="S57" s="3">
        <f t="shared" si="4"/>
        <v>0.97100000000000009</v>
      </c>
      <c r="T57" s="3" cm="1">
        <f t="array" ref="T57">MAX((TRANSPOSE(I57:O57)-I57:O57)/I57:O57)</f>
        <v>0.60801502817783348</v>
      </c>
      <c r="U57" s="3" cm="1">
        <f t="array" ref="U57">MAX((J57:O57-I57:N57)/I57:N57)</f>
        <v>0.6005009392611147</v>
      </c>
      <c r="V57" s="3" cm="1">
        <f t="array" ref="V57">MIN((TRANSPOSE(I57:O57)-I57:O57)/I57:O57)</f>
        <v>-0.37811526479750779</v>
      </c>
      <c r="W57" s="3" cm="1">
        <f t="array" ref="W57">MIN((J57:O57-I57:N57)/I57:N57)</f>
        <v>-0.15981500513874611</v>
      </c>
      <c r="X57" s="3">
        <v>1.6005009392611147</v>
      </c>
      <c r="Y57" s="3">
        <v>1.6080150281778336</v>
      </c>
      <c r="Z57" s="3">
        <v>1.4251721978710081</v>
      </c>
      <c r="AA57" s="3">
        <v>1.2185347526612398</v>
      </c>
      <c r="AB57" s="3">
        <v>1.0237946149029431</v>
      </c>
      <c r="AC57" s="3">
        <f t="shared" si="5"/>
        <v>1.393237319974953</v>
      </c>
    </row>
    <row r="58" spans="1:29" x14ac:dyDescent="0.3">
      <c r="A58">
        <v>1</v>
      </c>
      <c r="B58" t="s">
        <v>35</v>
      </c>
      <c r="C58" t="s">
        <v>184</v>
      </c>
      <c r="D58">
        <v>46</v>
      </c>
      <c r="E58" t="s">
        <v>185</v>
      </c>
      <c r="F58" t="s">
        <v>186</v>
      </c>
      <c r="G58" t="s">
        <v>519</v>
      </c>
      <c r="H58" s="4">
        <v>6.2</v>
      </c>
      <c r="I58" s="5">
        <v>4.5780000000000003</v>
      </c>
      <c r="J58" s="6">
        <v>6.9470000000000001</v>
      </c>
      <c r="K58" s="7">
        <v>5.133</v>
      </c>
      <c r="L58" s="6">
        <v>7.0140000000000002</v>
      </c>
      <c r="M58" s="7">
        <v>4.7</v>
      </c>
      <c r="N58" s="6">
        <v>4.6210000000000004</v>
      </c>
      <c r="O58" s="7">
        <v>5.5650000000000004</v>
      </c>
      <c r="P58" s="3">
        <f t="shared" si="1"/>
        <v>5.508285714285714</v>
      </c>
      <c r="Q58" s="3">
        <f t="shared" si="2"/>
        <v>7.0140000000000002</v>
      </c>
      <c r="R58" s="3">
        <f t="shared" si="3"/>
        <v>4.5780000000000003</v>
      </c>
      <c r="S58" s="3">
        <f t="shared" si="4"/>
        <v>2.4359999999999999</v>
      </c>
      <c r="T58" s="3" cm="1">
        <f t="array" ref="T58">MAX((TRANSPOSE(I58:O58)-I58:O58)/I58:O58)</f>
        <v>0.53211009174311918</v>
      </c>
      <c r="U58" s="3" cm="1">
        <f t="array" ref="U58">MAX((J58:O58-I58:N58)/I58:N58)</f>
        <v>0.51747487986020091</v>
      </c>
      <c r="V58" s="3" cm="1">
        <f t="array" ref="V58">MIN((TRANSPOSE(I58:O58)-I58:O58)/I58:O58)</f>
        <v>-0.34730538922155685</v>
      </c>
      <c r="W58" s="3" cm="1">
        <f t="array" ref="W58">MIN((J58:O58-I58:N58)/I58:N58)</f>
        <v>-0.32991160536070713</v>
      </c>
      <c r="X58" s="3">
        <v>1.5174748798602009</v>
      </c>
      <c r="Y58" s="3">
        <v>1.1212319790301442</v>
      </c>
      <c r="Z58" s="3">
        <v>1.5321100917431192</v>
      </c>
      <c r="AA58" s="3">
        <v>1.0266491917868064</v>
      </c>
      <c r="AB58" s="3">
        <v>1.0093927479248581</v>
      </c>
      <c r="AC58" s="3">
        <f t="shared" si="5"/>
        <v>1.2155963302752293</v>
      </c>
    </row>
    <row r="59" spans="1:29" x14ac:dyDescent="0.3">
      <c r="A59">
        <v>2</v>
      </c>
      <c r="B59" t="s">
        <v>25</v>
      </c>
      <c r="C59" t="s">
        <v>187</v>
      </c>
      <c r="D59">
        <v>15</v>
      </c>
      <c r="E59" t="s">
        <v>188</v>
      </c>
      <c r="F59" t="s">
        <v>189</v>
      </c>
      <c r="G59" t="s">
        <v>519</v>
      </c>
      <c r="H59" s="4">
        <v>5</v>
      </c>
      <c r="I59" s="5">
        <v>2.8140000000000001</v>
      </c>
      <c r="J59" s="6">
        <v>4.0570000000000004</v>
      </c>
      <c r="K59" s="7">
        <v>3.3769999999999998</v>
      </c>
      <c r="L59" s="6">
        <v>4.2409999999999997</v>
      </c>
      <c r="M59" s="7">
        <v>3.9220000000000002</v>
      </c>
      <c r="N59" s="6">
        <v>5.8760000000000003</v>
      </c>
      <c r="O59" s="7">
        <v>5.2009999999999996</v>
      </c>
      <c r="P59" s="3">
        <f t="shared" si="1"/>
        <v>4.2125714285714286</v>
      </c>
      <c r="Q59" s="3">
        <f t="shared" si="2"/>
        <v>5.8760000000000003</v>
      </c>
      <c r="R59" s="3">
        <f t="shared" si="3"/>
        <v>2.8140000000000001</v>
      </c>
      <c r="S59" s="3">
        <f t="shared" si="4"/>
        <v>3.0620000000000003</v>
      </c>
      <c r="T59" s="3" cm="1">
        <f t="array" ref="T59">MAX((TRANSPOSE(I59:O59)-I59:O59)/I59:O59)</f>
        <v>1.088130774697939</v>
      </c>
      <c r="U59" s="3" cm="1">
        <f t="array" ref="U59">MAX((J59:O59-I59:N59)/I59:N59)</f>
        <v>0.49821519632840389</v>
      </c>
      <c r="V59" s="3" cm="1">
        <f t="array" ref="V59">MIN((TRANSPOSE(I59:O59)-I59:O59)/I59:O59)</f>
        <v>-0.52110279101429546</v>
      </c>
      <c r="W59" s="3" cm="1">
        <f t="array" ref="W59">MIN((J59:O59-I59:N59)/I59:N59)</f>
        <v>-0.16761153561745146</v>
      </c>
      <c r="X59" s="3">
        <v>1.4417199715707179</v>
      </c>
      <c r="Y59" s="3">
        <v>1.2000710732054014</v>
      </c>
      <c r="Z59" s="3">
        <v>1.5071073205401562</v>
      </c>
      <c r="AA59" s="3">
        <v>1.3937455579246625</v>
      </c>
      <c r="AB59" s="3">
        <v>2.0881307746979392</v>
      </c>
      <c r="AC59" s="3">
        <f t="shared" si="5"/>
        <v>1.8482587064676614</v>
      </c>
    </row>
    <row r="60" spans="1:29" x14ac:dyDescent="0.3">
      <c r="A60">
        <v>1</v>
      </c>
      <c r="B60" t="s">
        <v>35</v>
      </c>
      <c r="C60" t="s">
        <v>190</v>
      </c>
      <c r="D60">
        <v>48</v>
      </c>
      <c r="E60" t="s">
        <v>70</v>
      </c>
      <c r="F60" t="s">
        <v>191</v>
      </c>
      <c r="G60" t="s">
        <v>519</v>
      </c>
      <c r="H60" s="4">
        <v>3.8</v>
      </c>
      <c r="I60" s="5">
        <v>3.9089999999999998</v>
      </c>
      <c r="J60" s="6">
        <v>4.5570000000000004</v>
      </c>
      <c r="K60" s="7">
        <v>3.5640000000000001</v>
      </c>
      <c r="L60" s="6">
        <v>4.2409999999999997</v>
      </c>
      <c r="M60" s="7">
        <v>3.6819999999999999</v>
      </c>
      <c r="N60" s="6">
        <v>3.7309999999999999</v>
      </c>
      <c r="O60" s="7">
        <v>3.4209999999999998</v>
      </c>
      <c r="P60" s="3">
        <f t="shared" si="1"/>
        <v>3.8721428571428569</v>
      </c>
      <c r="Q60" s="3">
        <f t="shared" si="2"/>
        <v>4.5570000000000004</v>
      </c>
      <c r="R60" s="3">
        <f t="shared" si="3"/>
        <v>3.4209999999999998</v>
      </c>
      <c r="S60" s="3">
        <f t="shared" si="4"/>
        <v>1.1360000000000006</v>
      </c>
      <c r="T60" s="3" cm="1">
        <f t="array" ref="T60">MAX((TRANSPOSE(I60:O60)-I60:O60)/I60:O60)</f>
        <v>0.33206664717918755</v>
      </c>
      <c r="U60" s="3" cm="1">
        <f t="array" ref="U60">MAX((J60:O60-I60:N60)/I60:N60)</f>
        <v>0.18995510662177317</v>
      </c>
      <c r="V60" s="3" cm="1">
        <f t="array" ref="V60">MIN((TRANSPOSE(I60:O60)-I60:O60)/I60:O60)</f>
        <v>-0.24928681149879317</v>
      </c>
      <c r="W60" s="3" cm="1">
        <f t="array" ref="W60">MIN((J60:O60-I60:N60)/I60:N60)</f>
        <v>-0.21790651744568801</v>
      </c>
      <c r="X60" s="3">
        <v>1.1657712970069074</v>
      </c>
      <c r="Y60" s="3">
        <v>0.91174213353798927</v>
      </c>
      <c r="Z60" s="3">
        <v>1.084932207725761</v>
      </c>
      <c r="AA60" s="3">
        <v>0.94192888206702485</v>
      </c>
      <c r="AB60" s="3">
        <v>0.95446405730365824</v>
      </c>
      <c r="AC60" s="3">
        <f t="shared" si="5"/>
        <v>0.87515988743924278</v>
      </c>
    </row>
    <row r="61" spans="1:29" x14ac:dyDescent="0.3">
      <c r="A61">
        <v>3</v>
      </c>
      <c r="B61" t="s">
        <v>21</v>
      </c>
      <c r="C61" t="s">
        <v>192</v>
      </c>
      <c r="D61">
        <v>55</v>
      </c>
      <c r="E61" t="s">
        <v>193</v>
      </c>
      <c r="F61" t="s">
        <v>194</v>
      </c>
      <c r="G61" t="s">
        <v>519</v>
      </c>
      <c r="H61" s="4">
        <v>3.8</v>
      </c>
      <c r="I61" s="5">
        <v>3.3610000000000002</v>
      </c>
      <c r="J61" s="6">
        <v>4.4139999999999997</v>
      </c>
      <c r="K61" s="7">
        <v>3.5640000000000001</v>
      </c>
      <c r="L61" s="6">
        <v>3.7170000000000001</v>
      </c>
      <c r="M61" s="7">
        <v>3.6219999999999999</v>
      </c>
      <c r="N61" s="6">
        <v>3.9220000000000002</v>
      </c>
      <c r="O61" s="7">
        <v>3.9529999999999998</v>
      </c>
      <c r="P61" s="3">
        <f t="shared" si="1"/>
        <v>3.7932857142857146</v>
      </c>
      <c r="Q61" s="3">
        <f t="shared" si="2"/>
        <v>4.4139999999999997</v>
      </c>
      <c r="R61" s="3">
        <f t="shared" si="3"/>
        <v>3.3610000000000002</v>
      </c>
      <c r="S61" s="3">
        <f t="shared" si="4"/>
        <v>1.0529999999999995</v>
      </c>
      <c r="T61" s="3" cm="1">
        <f t="array" ref="T61">MAX((TRANSPOSE(I61:O61)-I61:O61)/I61:O61)</f>
        <v>0.31329961321035388</v>
      </c>
      <c r="U61" s="3" cm="1">
        <f t="array" ref="U61">MAX((J61:O61-I61:N61)/I61:N61)</f>
        <v>0.31329961321035388</v>
      </c>
      <c r="V61" s="3" cm="1">
        <f t="array" ref="V61">MIN((TRANSPOSE(I61:O61)-I61:O61)/I61:O61)</f>
        <v>-0.23855913004077925</v>
      </c>
      <c r="W61" s="3" cm="1">
        <f t="array" ref="W61">MIN((J61:O61-I61:N61)/I61:N61)</f>
        <v>-0.19256909832351601</v>
      </c>
      <c r="X61" s="3">
        <v>1.3132996132103538</v>
      </c>
      <c r="Y61" s="3">
        <v>1.0603986908658136</v>
      </c>
      <c r="Z61" s="3">
        <v>1.1059208568878309</v>
      </c>
      <c r="AA61" s="3">
        <v>1.0776554596846175</v>
      </c>
      <c r="AB61" s="3">
        <v>1.1669146087473965</v>
      </c>
      <c r="AC61" s="3">
        <f t="shared" si="5"/>
        <v>1.1761380541505504</v>
      </c>
    </row>
    <row r="62" spans="1:29" x14ac:dyDescent="0.3">
      <c r="A62">
        <v>2</v>
      </c>
      <c r="B62" t="s">
        <v>25</v>
      </c>
      <c r="C62" t="s">
        <v>195</v>
      </c>
      <c r="D62">
        <v>93</v>
      </c>
      <c r="E62" t="s">
        <v>196</v>
      </c>
      <c r="F62" t="s">
        <v>197</v>
      </c>
      <c r="G62" t="s">
        <v>519</v>
      </c>
      <c r="H62" s="4">
        <v>7</v>
      </c>
      <c r="I62" s="5">
        <v>7.5</v>
      </c>
      <c r="J62" s="6">
        <v>9.1940000000000008</v>
      </c>
      <c r="K62" s="7">
        <v>8.1050000000000004</v>
      </c>
      <c r="L62" s="6">
        <v>8.2769999999999992</v>
      </c>
      <c r="M62" s="7">
        <v>6.1269999999999998</v>
      </c>
      <c r="N62" s="6">
        <v>6.4889999999999999</v>
      </c>
      <c r="O62" s="7">
        <v>6.657</v>
      </c>
      <c r="P62" s="3">
        <f t="shared" si="1"/>
        <v>7.4784285714285721</v>
      </c>
      <c r="Q62" s="3">
        <f t="shared" si="2"/>
        <v>9.1940000000000008</v>
      </c>
      <c r="R62" s="3">
        <f t="shared" si="3"/>
        <v>6.1269999999999998</v>
      </c>
      <c r="S62" s="3">
        <f t="shared" si="4"/>
        <v>3.0670000000000011</v>
      </c>
      <c r="T62" s="3" cm="1">
        <f t="array" ref="T62">MAX((TRANSPOSE(I62:O62)-I62:O62)/I62:O62)</f>
        <v>0.50057124204341463</v>
      </c>
      <c r="U62" s="3" cm="1">
        <f t="array" ref="U62">MAX((J62:O62-I62:N62)/I62:N62)</f>
        <v>0.22586666666666677</v>
      </c>
      <c r="V62" s="3" cm="1">
        <f t="array" ref="V62">MIN((TRANSPOSE(I62:O62)-I62:O62)/I62:O62)</f>
        <v>-0.33358712203611057</v>
      </c>
      <c r="W62" s="3" cm="1">
        <f t="array" ref="W62">MIN((J62:O62-I62:N62)/I62:N62)</f>
        <v>-0.25975595022351089</v>
      </c>
      <c r="X62" s="3">
        <v>1.2258666666666669</v>
      </c>
      <c r="Y62" s="3">
        <v>1.0806666666666667</v>
      </c>
      <c r="Z62" s="3">
        <v>1.1035999999999999</v>
      </c>
      <c r="AA62" s="3">
        <v>0.81693333333333329</v>
      </c>
      <c r="AB62" s="3">
        <v>0.86519999999999997</v>
      </c>
      <c r="AC62" s="3">
        <f t="shared" si="5"/>
        <v>0.88760000000000006</v>
      </c>
    </row>
    <row r="63" spans="1:29" x14ac:dyDescent="0.3">
      <c r="A63">
        <v>1</v>
      </c>
      <c r="B63" t="s">
        <v>35</v>
      </c>
      <c r="C63" t="s">
        <v>198</v>
      </c>
      <c r="D63">
        <v>53</v>
      </c>
      <c r="E63" t="s">
        <v>30</v>
      </c>
      <c r="F63" t="s">
        <v>199</v>
      </c>
      <c r="G63" t="s">
        <v>519</v>
      </c>
      <c r="H63" s="4">
        <v>2.6</v>
      </c>
      <c r="I63" s="5">
        <v>1.536</v>
      </c>
      <c r="J63" s="6">
        <v>2.198</v>
      </c>
      <c r="K63" s="7">
        <v>2.1320000000000001</v>
      </c>
      <c r="L63" s="6">
        <v>2.407</v>
      </c>
      <c r="M63" s="7">
        <v>2.1850000000000001</v>
      </c>
      <c r="N63" s="6">
        <v>2.2069999999999999</v>
      </c>
      <c r="O63" s="7">
        <v>2.4249999999999998</v>
      </c>
      <c r="P63" s="3">
        <f t="shared" si="1"/>
        <v>2.1557142857142857</v>
      </c>
      <c r="Q63" s="3">
        <f t="shared" si="2"/>
        <v>2.4249999999999998</v>
      </c>
      <c r="R63" s="3">
        <f t="shared" si="3"/>
        <v>1.536</v>
      </c>
      <c r="S63" s="3">
        <f t="shared" si="4"/>
        <v>0.88899999999999979</v>
      </c>
      <c r="T63" s="3" cm="1">
        <f t="array" ref="T63">MAX((TRANSPOSE(I63:O63)-I63:O63)/I63:O63)</f>
        <v>0.57877604166666652</v>
      </c>
      <c r="U63" s="3" cm="1">
        <f t="array" ref="U63">MAX((J63:O63-I63:N63)/I63:N63)</f>
        <v>0.43098958333333326</v>
      </c>
      <c r="V63" s="3" cm="1">
        <f t="array" ref="V63">MIN((TRANSPOSE(I63:O63)-I63:O63)/I63:O63)</f>
        <v>-0.36659793814432984</v>
      </c>
      <c r="W63" s="3" cm="1">
        <f t="array" ref="W63">MIN((J63:O63-I63:N63)/I63:N63)</f>
        <v>-9.223099293726629E-2</v>
      </c>
      <c r="X63" s="3">
        <v>1.4309895833333333</v>
      </c>
      <c r="Y63" s="3">
        <v>1.3880208333333335</v>
      </c>
      <c r="Z63" s="3">
        <v>1.5670572916666667</v>
      </c>
      <c r="AA63" s="3">
        <v>1.4225260416666667</v>
      </c>
      <c r="AB63" s="3">
        <v>1.4368489583333333</v>
      </c>
      <c r="AC63" s="3">
        <f t="shared" si="5"/>
        <v>1.5787760416666665</v>
      </c>
    </row>
    <row r="64" spans="1:29" x14ac:dyDescent="0.3">
      <c r="A64">
        <v>2</v>
      </c>
      <c r="B64" t="s">
        <v>25</v>
      </c>
      <c r="C64" t="s">
        <v>200</v>
      </c>
      <c r="D64">
        <v>19</v>
      </c>
      <c r="E64" t="s">
        <v>201</v>
      </c>
      <c r="F64" t="s">
        <v>202</v>
      </c>
      <c r="G64" t="s">
        <v>519</v>
      </c>
      <c r="H64" s="4">
        <v>4</v>
      </c>
      <c r="I64" s="5">
        <v>3.0569999999999999</v>
      </c>
      <c r="J64" s="6">
        <v>3.6989999999999998</v>
      </c>
      <c r="K64" s="7">
        <v>3.6880000000000002</v>
      </c>
      <c r="L64" s="6">
        <v>4.3070000000000004</v>
      </c>
      <c r="M64" s="7">
        <v>4.0410000000000004</v>
      </c>
      <c r="N64" s="6">
        <v>3.8580000000000001</v>
      </c>
      <c r="O64" s="7">
        <v>3.5539999999999998</v>
      </c>
      <c r="P64" s="3">
        <f t="shared" si="1"/>
        <v>3.7434285714285713</v>
      </c>
      <c r="Q64" s="3">
        <f t="shared" si="2"/>
        <v>4.3070000000000004</v>
      </c>
      <c r="R64" s="3">
        <f t="shared" si="3"/>
        <v>3.0569999999999999</v>
      </c>
      <c r="S64" s="3">
        <f t="shared" si="4"/>
        <v>1.2500000000000004</v>
      </c>
      <c r="T64" s="3" cm="1">
        <f t="array" ref="T64">MAX((TRANSPOSE(I64:O64)-I64:O64)/I64:O64)</f>
        <v>0.40889761203794583</v>
      </c>
      <c r="U64" s="3" cm="1">
        <f t="array" ref="U64">MAX((J64:O64-I64:N64)/I64:N64)</f>
        <v>0.21000981354268888</v>
      </c>
      <c r="V64" s="3" cm="1">
        <f t="array" ref="V64">MIN((TRANSPOSE(I64:O64)-I64:O64)/I64:O64)</f>
        <v>-0.29022521476665902</v>
      </c>
      <c r="W64" s="3" cm="1">
        <f t="array" ref="W64">MIN((J64:O64-I64:N64)/I64:N64)</f>
        <v>-7.8797304302747603E-2</v>
      </c>
      <c r="X64" s="3">
        <v>1.2100098135426889</v>
      </c>
      <c r="Y64" s="3">
        <v>1.2064115145567551</v>
      </c>
      <c r="Z64" s="3">
        <v>1.4088976120379459</v>
      </c>
      <c r="AA64" s="3">
        <v>1.321884200196271</v>
      </c>
      <c r="AB64" s="3">
        <v>1.2620215897939158</v>
      </c>
      <c r="AC64" s="3">
        <f t="shared" si="5"/>
        <v>1.1625776905462872</v>
      </c>
    </row>
    <row r="65" spans="1:29" x14ac:dyDescent="0.3">
      <c r="A65">
        <v>2</v>
      </c>
      <c r="B65" t="s">
        <v>25</v>
      </c>
      <c r="C65" t="s">
        <v>203</v>
      </c>
      <c r="D65">
        <v>35</v>
      </c>
      <c r="E65" t="s">
        <v>101</v>
      </c>
      <c r="F65" t="s">
        <v>204</v>
      </c>
      <c r="G65" t="s">
        <v>519</v>
      </c>
      <c r="H65" s="4">
        <v>64.400000000000006</v>
      </c>
      <c r="I65" s="5">
        <v>76.572999999999993</v>
      </c>
      <c r="J65" s="6">
        <v>71.319999999999993</v>
      </c>
      <c r="K65" s="7">
        <v>69.191000000000003</v>
      </c>
      <c r="L65" s="6">
        <v>71.233999999999995</v>
      </c>
      <c r="M65" s="7">
        <v>69.564999999999998</v>
      </c>
      <c r="N65" s="6">
        <v>63.579000000000001</v>
      </c>
      <c r="O65" s="7">
        <v>59.744</v>
      </c>
      <c r="P65" s="3">
        <f t="shared" si="1"/>
        <v>68.74371428571429</v>
      </c>
      <c r="Q65" s="3">
        <f t="shared" si="2"/>
        <v>76.572999999999993</v>
      </c>
      <c r="R65" s="3">
        <f t="shared" si="3"/>
        <v>59.744</v>
      </c>
      <c r="S65" s="3">
        <f t="shared" si="4"/>
        <v>16.828999999999994</v>
      </c>
      <c r="T65" s="3" cm="1">
        <f t="array" ref="T65">MAX((TRANSPOSE(I65:O65)-I65:O65)/I65:O65)</f>
        <v>0.2816851901446169</v>
      </c>
      <c r="U65" s="3" cm="1">
        <f t="array" ref="U65">MAX((J65:O65-I65:N65)/I65:N65)</f>
        <v>2.9526961599051785E-2</v>
      </c>
      <c r="V65" s="3" cm="1">
        <f t="array" ref="V65">MIN((TRANSPOSE(I65:O65)-I65:O65)/I65:O65)</f>
        <v>-0.21977720606480083</v>
      </c>
      <c r="W65" s="3" cm="1">
        <f t="array" ref="W65">MIN((J65:O65-I65:N65)/I65:N65)</f>
        <v>-8.6049018903184032E-2</v>
      </c>
      <c r="X65" s="3">
        <v>0.931398795920233</v>
      </c>
      <c r="Y65" s="3">
        <v>0.90359526203753293</v>
      </c>
      <c r="Z65" s="3">
        <v>0.93027568464080035</v>
      </c>
      <c r="AA65" s="3">
        <v>0.90847949015971696</v>
      </c>
      <c r="AB65" s="3">
        <v>0.83030572133780844</v>
      </c>
      <c r="AC65" s="3">
        <f t="shared" si="5"/>
        <v>0.78022279393519911</v>
      </c>
    </row>
    <row r="66" spans="1:29" x14ac:dyDescent="0.3">
      <c r="A66">
        <v>3</v>
      </c>
      <c r="B66" t="s">
        <v>21</v>
      </c>
      <c r="C66" t="s">
        <v>205</v>
      </c>
      <c r="D66">
        <v>33</v>
      </c>
      <c r="E66" t="s">
        <v>61</v>
      </c>
      <c r="F66" t="s">
        <v>206</v>
      </c>
      <c r="G66" t="s">
        <v>519</v>
      </c>
      <c r="H66" s="4">
        <v>25.8</v>
      </c>
      <c r="I66" s="5">
        <v>19.291</v>
      </c>
      <c r="J66" s="6">
        <v>20.373000000000001</v>
      </c>
      <c r="K66" s="7">
        <v>24.184999999999999</v>
      </c>
      <c r="L66" s="6">
        <v>24.143000000000001</v>
      </c>
      <c r="M66" s="7">
        <v>28.007999999999999</v>
      </c>
      <c r="N66" s="6">
        <v>27.326000000000001</v>
      </c>
      <c r="O66" s="7">
        <v>26.526</v>
      </c>
      <c r="P66" s="3">
        <f t="shared" si="1"/>
        <v>24.264571428571429</v>
      </c>
      <c r="Q66" s="3">
        <f t="shared" si="2"/>
        <v>28.007999999999999</v>
      </c>
      <c r="R66" s="3">
        <f t="shared" si="3"/>
        <v>19.291</v>
      </c>
      <c r="S66" s="3">
        <f t="shared" si="4"/>
        <v>8.7169999999999987</v>
      </c>
      <c r="T66" s="3" cm="1">
        <f t="array" ref="T66">MAX((TRANSPOSE(I66:O66)-I66:O66)/I66:O66)</f>
        <v>0.45186874708413244</v>
      </c>
      <c r="U66" s="3" cm="1">
        <f t="array" ref="U66">MAX((J66:O66-I66:N66)/I66:N66)</f>
        <v>0.18711039120404444</v>
      </c>
      <c r="V66" s="3" cm="1">
        <f t="array" ref="V66">MIN((TRANSPOSE(I66:O66)-I66:O66)/I66:O66)</f>
        <v>-0.3112325049985718</v>
      </c>
      <c r="W66" s="3" cm="1">
        <f t="array" ref="W66">MIN((J66:O66-I66:N66)/I66:N66)</f>
        <v>-2.9276147259020738E-2</v>
      </c>
      <c r="X66" s="3">
        <v>1.0560883313462237</v>
      </c>
      <c r="Y66" s="3">
        <v>1.253693432170442</v>
      </c>
      <c r="Z66" s="3">
        <v>1.2515162511015498</v>
      </c>
      <c r="AA66" s="3">
        <v>1.4518687470841325</v>
      </c>
      <c r="AB66" s="3">
        <v>1.4165154735368826</v>
      </c>
      <c r="AC66" s="3">
        <f t="shared" ref="AC66:AC97" si="6">O66/I66</f>
        <v>1.3750453579389352</v>
      </c>
    </row>
    <row r="67" spans="1:29" x14ac:dyDescent="0.3">
      <c r="A67">
        <v>1</v>
      </c>
      <c r="B67" t="s">
        <v>35</v>
      </c>
      <c r="C67" t="s">
        <v>207</v>
      </c>
      <c r="D67">
        <v>23</v>
      </c>
      <c r="E67" t="s">
        <v>40</v>
      </c>
      <c r="F67" t="s">
        <v>208</v>
      </c>
      <c r="G67" t="s">
        <v>519</v>
      </c>
      <c r="H67" s="4">
        <v>2.9</v>
      </c>
      <c r="I67" s="5">
        <v>3.1789999999999998</v>
      </c>
      <c r="J67" s="6">
        <v>3.6989999999999998</v>
      </c>
      <c r="K67" s="7">
        <v>3.1280000000000001</v>
      </c>
      <c r="L67" s="6">
        <v>2.8</v>
      </c>
      <c r="M67" s="7">
        <v>2.6040000000000001</v>
      </c>
      <c r="N67" s="6">
        <v>2.3340000000000001</v>
      </c>
      <c r="O67" s="7">
        <v>3.0230000000000001</v>
      </c>
      <c r="P67" s="3">
        <f t="shared" ref="P67:P130" si="7">AVERAGE(I67:O67)</f>
        <v>2.9667142857142856</v>
      </c>
      <c r="Q67" s="3">
        <f t="shared" ref="Q67:Q130" si="8">MAX(I67:O67)</f>
        <v>3.6989999999999998</v>
      </c>
      <c r="R67" s="3">
        <f t="shared" ref="R67:R130" si="9">MIN(I67:O67)</f>
        <v>2.3340000000000001</v>
      </c>
      <c r="S67" s="3">
        <f t="shared" ref="S67:S130" si="10">Q67-R67</f>
        <v>1.3649999999999998</v>
      </c>
      <c r="T67" s="3" cm="1">
        <f t="array" ref="T67">MAX((TRANSPOSE(I67:O67)-I67:O67)/I67:O67)</f>
        <v>0.58483290488431861</v>
      </c>
      <c r="U67" s="3" cm="1">
        <f t="array" ref="U67">MAX((J67:O67-I67:N67)/I67:N67)</f>
        <v>0.29520137103684663</v>
      </c>
      <c r="V67" s="3" cm="1">
        <f t="array" ref="V67">MIN((TRANSPOSE(I67:O67)-I67:O67)/I67:O67)</f>
        <v>-0.36901865369018649</v>
      </c>
      <c r="W67" s="3" cm="1">
        <f t="array" ref="W67">MIN((J67:O67-I67:N67)/I67:N67)</f>
        <v>-0.15436604487699371</v>
      </c>
      <c r="X67" s="3">
        <v>1.1635734507706825</v>
      </c>
      <c r="Y67" s="3">
        <v>0.98395721925133695</v>
      </c>
      <c r="Z67" s="3">
        <v>0.88078011953444479</v>
      </c>
      <c r="AA67" s="3">
        <v>0.81912551116703369</v>
      </c>
      <c r="AB67" s="3">
        <v>0.73419314249764078</v>
      </c>
      <c r="AC67" s="3">
        <f t="shared" si="6"/>
        <v>0.95092796476879526</v>
      </c>
    </row>
    <row r="68" spans="1:29" x14ac:dyDescent="0.3">
      <c r="A68">
        <v>1</v>
      </c>
      <c r="B68" t="s">
        <v>35</v>
      </c>
      <c r="C68" t="s">
        <v>209</v>
      </c>
      <c r="D68">
        <v>24</v>
      </c>
      <c r="E68" t="s">
        <v>179</v>
      </c>
      <c r="F68" t="s">
        <v>210</v>
      </c>
      <c r="G68" t="s">
        <v>519</v>
      </c>
      <c r="H68" s="4">
        <v>2.9</v>
      </c>
      <c r="I68" s="5">
        <v>2.7530000000000001</v>
      </c>
      <c r="J68" s="6">
        <v>2.4129999999999998</v>
      </c>
      <c r="K68" s="7">
        <v>2.8170000000000002</v>
      </c>
      <c r="L68" s="6">
        <v>2.7349999999999999</v>
      </c>
      <c r="M68" s="7">
        <v>2.6040000000000001</v>
      </c>
      <c r="N68" s="6">
        <v>2.5249999999999999</v>
      </c>
      <c r="O68" s="7">
        <v>2.4249999999999998</v>
      </c>
      <c r="P68" s="3">
        <f t="shared" si="7"/>
        <v>2.6102857142857139</v>
      </c>
      <c r="Q68" s="3">
        <f t="shared" si="8"/>
        <v>2.8170000000000002</v>
      </c>
      <c r="R68" s="3">
        <f t="shared" si="9"/>
        <v>2.4129999999999998</v>
      </c>
      <c r="S68" s="3">
        <f t="shared" si="10"/>
        <v>0.40400000000000036</v>
      </c>
      <c r="T68" s="3" cm="1">
        <f t="array" ref="T68">MAX((TRANSPOSE(I68:O68)-I68:O68)/I68:O68)</f>
        <v>0.1674264401160383</v>
      </c>
      <c r="U68" s="3" cm="1">
        <f t="array" ref="U68">MAX((J68:O68-I68:N68)/I68:N68)</f>
        <v>0.1674264401160383</v>
      </c>
      <c r="V68" s="3" cm="1">
        <f t="array" ref="V68">MIN((TRANSPOSE(I68:O68)-I68:O68)/I68:O68)</f>
        <v>-0.14341498047568346</v>
      </c>
      <c r="W68" s="3" cm="1">
        <f t="array" ref="W68">MIN((J68:O68-I68:N68)/I68:N68)</f>
        <v>-0.12350163458045779</v>
      </c>
      <c r="X68" s="3">
        <v>0.87649836541954218</v>
      </c>
      <c r="Y68" s="3">
        <v>1.0232473665092627</v>
      </c>
      <c r="Z68" s="3">
        <v>0.99346167816926978</v>
      </c>
      <c r="AA68" s="3">
        <v>0.94587722484562298</v>
      </c>
      <c r="AB68" s="3">
        <v>0.9171812568107518</v>
      </c>
      <c r="AC68" s="3">
        <f t="shared" si="6"/>
        <v>0.88085724664002896</v>
      </c>
    </row>
    <row r="69" spans="1:29" x14ac:dyDescent="0.3">
      <c r="A69">
        <v>1</v>
      </c>
      <c r="B69" t="s">
        <v>35</v>
      </c>
      <c r="C69" t="s">
        <v>211</v>
      </c>
      <c r="D69">
        <v>39</v>
      </c>
      <c r="E69" t="s">
        <v>212</v>
      </c>
      <c r="F69" t="s">
        <v>213</v>
      </c>
      <c r="G69" t="s">
        <v>519</v>
      </c>
      <c r="H69" s="4">
        <v>3</v>
      </c>
      <c r="I69" s="5">
        <v>3.0569999999999999</v>
      </c>
      <c r="J69" s="6">
        <v>3.1989999999999998</v>
      </c>
      <c r="K69" s="7">
        <v>2.8170000000000002</v>
      </c>
      <c r="L69" s="6">
        <v>3.1280000000000001</v>
      </c>
      <c r="M69" s="7">
        <v>2.6640000000000001</v>
      </c>
      <c r="N69" s="6">
        <v>2.9060000000000001</v>
      </c>
      <c r="O69" s="7">
        <v>3.0230000000000001</v>
      </c>
      <c r="P69" s="3">
        <f t="shared" si="7"/>
        <v>2.9705714285714286</v>
      </c>
      <c r="Q69" s="3">
        <f t="shared" si="8"/>
        <v>3.1989999999999998</v>
      </c>
      <c r="R69" s="3">
        <f t="shared" si="9"/>
        <v>2.6640000000000001</v>
      </c>
      <c r="S69" s="3">
        <f t="shared" si="10"/>
        <v>0.5349999999999997</v>
      </c>
      <c r="T69" s="3" cm="1">
        <f t="array" ref="T69">MAX((TRANSPOSE(I69:O69)-I69:O69)/I69:O69)</f>
        <v>0.2008258258258257</v>
      </c>
      <c r="U69" s="3" cm="1">
        <f t="array" ref="U69">MAX((J69:O69-I69:N69)/I69:N69)</f>
        <v>0.11040113596024137</v>
      </c>
      <c r="V69" s="3" cm="1">
        <f t="array" ref="V69">MIN((TRANSPOSE(I69:O69)-I69:O69)/I69:O69)</f>
        <v>-0.16723976242575797</v>
      </c>
      <c r="W69" s="3" cm="1">
        <f t="array" ref="W69">MIN((J69:O69-I69:N69)/I69:N69)</f>
        <v>-0.14833759590792836</v>
      </c>
      <c r="X69" s="3">
        <v>1.0464507687275106</v>
      </c>
      <c r="Y69" s="3">
        <v>0.9214916584887145</v>
      </c>
      <c r="Z69" s="3">
        <v>1.0232253843637553</v>
      </c>
      <c r="AA69" s="3">
        <v>0.87144259077526998</v>
      </c>
      <c r="AB69" s="3">
        <v>0.95060516846581622</v>
      </c>
      <c r="AC69" s="3">
        <f t="shared" si="6"/>
        <v>0.98887798495256796</v>
      </c>
    </row>
    <row r="70" spans="1:29" x14ac:dyDescent="0.3">
      <c r="A70">
        <v>2</v>
      </c>
      <c r="B70" t="s">
        <v>25</v>
      </c>
      <c r="C70" t="s">
        <v>214</v>
      </c>
      <c r="D70">
        <v>32</v>
      </c>
      <c r="E70" t="s">
        <v>52</v>
      </c>
      <c r="F70" t="s">
        <v>215</v>
      </c>
      <c r="G70" t="s">
        <v>519</v>
      </c>
      <c r="H70" s="4">
        <v>3</v>
      </c>
      <c r="I70" s="5">
        <v>2.875</v>
      </c>
      <c r="J70" s="6">
        <v>3.3420000000000001</v>
      </c>
      <c r="K70" s="7">
        <v>3.004</v>
      </c>
      <c r="L70" s="6">
        <v>2.7349999999999999</v>
      </c>
      <c r="M70" s="7">
        <v>2.6040000000000001</v>
      </c>
      <c r="N70" s="6">
        <v>3.0329999999999999</v>
      </c>
      <c r="O70" s="7">
        <v>3.488</v>
      </c>
      <c r="P70" s="3">
        <f t="shared" si="7"/>
        <v>3.0115714285714286</v>
      </c>
      <c r="Q70" s="3">
        <f t="shared" si="8"/>
        <v>3.488</v>
      </c>
      <c r="R70" s="3">
        <f t="shared" si="9"/>
        <v>2.6040000000000001</v>
      </c>
      <c r="S70" s="3">
        <f t="shared" si="10"/>
        <v>0.8839999999999999</v>
      </c>
      <c r="T70" s="3" cm="1">
        <f t="array" ref="T70">MAX((TRANSPOSE(I70:O70)-I70:O70)/I70:O70)</f>
        <v>0.3394777265745007</v>
      </c>
      <c r="U70" s="3" cm="1">
        <f t="array" ref="U70">MAX((J70:O70-I70:N70)/I70:N70)</f>
        <v>0.16474654377880177</v>
      </c>
      <c r="V70" s="3" cm="1">
        <f t="array" ref="V70">MIN((TRANSPOSE(I70:O70)-I70:O70)/I70:O70)</f>
        <v>-0.25344036697247702</v>
      </c>
      <c r="W70" s="3" cm="1">
        <f t="array" ref="W70">MIN((J70:O70-I70:N70)/I70:N70)</f>
        <v>-0.10113704368641534</v>
      </c>
      <c r="X70" s="3">
        <v>1.1624347826086956</v>
      </c>
      <c r="Y70" s="3">
        <v>1.0448695652173914</v>
      </c>
      <c r="Z70" s="3">
        <v>0.95130434782608686</v>
      </c>
      <c r="AA70" s="3">
        <v>0.9057391304347826</v>
      </c>
      <c r="AB70" s="3">
        <v>1.0549565217391303</v>
      </c>
      <c r="AC70" s="3">
        <f t="shared" si="6"/>
        <v>1.2132173913043478</v>
      </c>
    </row>
    <row r="71" spans="1:29" x14ac:dyDescent="0.3">
      <c r="A71">
        <v>2</v>
      </c>
      <c r="B71" t="s">
        <v>25</v>
      </c>
      <c r="C71" t="s">
        <v>216</v>
      </c>
      <c r="D71">
        <v>45</v>
      </c>
      <c r="E71" t="s">
        <v>217</v>
      </c>
      <c r="F71" t="s">
        <v>218</v>
      </c>
      <c r="G71" t="s">
        <v>519</v>
      </c>
      <c r="H71" s="4">
        <v>3</v>
      </c>
      <c r="I71" s="5">
        <v>1.84</v>
      </c>
      <c r="J71" s="6">
        <v>2.77</v>
      </c>
      <c r="K71" s="7">
        <v>2.8170000000000002</v>
      </c>
      <c r="L71" s="6">
        <v>2.7349999999999999</v>
      </c>
      <c r="M71" s="7">
        <v>2.2450000000000001</v>
      </c>
      <c r="N71" s="6">
        <v>2.2709999999999999</v>
      </c>
      <c r="O71" s="7">
        <v>3.0230000000000001</v>
      </c>
      <c r="P71" s="3">
        <f t="shared" si="7"/>
        <v>2.5287142857142859</v>
      </c>
      <c r="Q71" s="3">
        <f t="shared" si="8"/>
        <v>3.0230000000000001</v>
      </c>
      <c r="R71" s="3">
        <f t="shared" si="9"/>
        <v>1.84</v>
      </c>
      <c r="S71" s="3">
        <f t="shared" si="10"/>
        <v>1.1830000000000001</v>
      </c>
      <c r="T71" s="3" cm="1">
        <f t="array" ref="T71">MAX((TRANSPOSE(I71:O71)-I71:O71)/I71:O71)</f>
        <v>0.64293478260869563</v>
      </c>
      <c r="U71" s="3" cm="1">
        <f t="array" ref="U71">MAX((J71:O71-I71:N71)/I71:N71)</f>
        <v>0.50543478260869557</v>
      </c>
      <c r="V71" s="3" cm="1">
        <f t="array" ref="V71">MIN((TRANSPOSE(I71:O71)-I71:O71)/I71:O71)</f>
        <v>-0.39133311280185246</v>
      </c>
      <c r="W71" s="3" cm="1">
        <f t="array" ref="W71">MIN((J71:O71-I71:N71)/I71:N71)</f>
        <v>-0.17915904936014618</v>
      </c>
      <c r="X71" s="3">
        <v>1.5054347826086956</v>
      </c>
      <c r="Y71" s="3">
        <v>1.5309782608695652</v>
      </c>
      <c r="Z71" s="3">
        <v>1.4864130434782608</v>
      </c>
      <c r="AA71" s="3">
        <v>1.2201086956521738</v>
      </c>
      <c r="AB71" s="3">
        <v>1.2342391304347824</v>
      </c>
      <c r="AC71" s="3">
        <f t="shared" si="6"/>
        <v>1.6429347826086957</v>
      </c>
    </row>
    <row r="72" spans="1:29" x14ac:dyDescent="0.3">
      <c r="A72">
        <v>2</v>
      </c>
      <c r="B72" t="s">
        <v>25</v>
      </c>
      <c r="C72" t="s">
        <v>219</v>
      </c>
      <c r="D72">
        <v>119</v>
      </c>
      <c r="E72" t="s">
        <v>220</v>
      </c>
      <c r="F72" t="s">
        <v>221</v>
      </c>
      <c r="G72" t="s">
        <v>519</v>
      </c>
      <c r="H72" s="4">
        <v>6.1</v>
      </c>
      <c r="I72" s="5">
        <v>13.5</v>
      </c>
      <c r="J72" s="6">
        <v>10.093</v>
      </c>
      <c r="K72" s="7">
        <v>5.8760000000000003</v>
      </c>
      <c r="L72" s="6">
        <v>7.0140000000000002</v>
      </c>
      <c r="M72" s="7">
        <v>5.6520000000000001</v>
      </c>
      <c r="N72" s="6">
        <v>6.8979999999999997</v>
      </c>
      <c r="O72" s="7">
        <v>5.9290000000000003</v>
      </c>
      <c r="P72" s="3">
        <f t="shared" si="7"/>
        <v>7.8517142857142863</v>
      </c>
      <c r="Q72" s="3">
        <f t="shared" si="8"/>
        <v>13.5</v>
      </c>
      <c r="R72" s="3">
        <f t="shared" si="9"/>
        <v>5.6520000000000001</v>
      </c>
      <c r="S72" s="3">
        <f t="shared" si="10"/>
        <v>7.8479999999999999</v>
      </c>
      <c r="T72" s="3" cm="1">
        <f t="array" ref="T72">MAX((TRANSPOSE(I72:O72)-I72:O72)/I72:O72)</f>
        <v>1.3885350318471337</v>
      </c>
      <c r="U72" s="3" cm="1">
        <f t="array" ref="U72">MAX((J72:O72-I72:N72)/I72:N72)</f>
        <v>0.22045293701344648</v>
      </c>
      <c r="V72" s="3" cm="1">
        <f t="array" ref="V72">MIN((TRANSPOSE(I72:O72)-I72:O72)/I72:O72)</f>
        <v>-0.58133333333333337</v>
      </c>
      <c r="W72" s="3" cm="1">
        <f t="array" ref="W72">MIN((J72:O72-I72:N72)/I72:N72)</f>
        <v>-0.41781432676112151</v>
      </c>
      <c r="X72" s="3">
        <v>0.74762962962962964</v>
      </c>
      <c r="Y72" s="3">
        <v>0.43525925925925929</v>
      </c>
      <c r="Z72" s="3">
        <v>0.51955555555555555</v>
      </c>
      <c r="AA72" s="3">
        <v>0.41866666666666669</v>
      </c>
      <c r="AB72" s="3">
        <v>0.51096296296296295</v>
      </c>
      <c r="AC72" s="3">
        <f t="shared" si="6"/>
        <v>0.43918518518518518</v>
      </c>
    </row>
    <row r="73" spans="1:29" x14ac:dyDescent="0.3">
      <c r="A73">
        <v>1</v>
      </c>
      <c r="B73" t="s">
        <v>35</v>
      </c>
      <c r="C73" t="s">
        <v>222</v>
      </c>
      <c r="D73">
        <v>25</v>
      </c>
      <c r="E73" t="s">
        <v>33</v>
      </c>
      <c r="F73" t="s">
        <v>223</v>
      </c>
      <c r="G73" t="s">
        <v>519</v>
      </c>
      <c r="H73" s="4">
        <v>3.1</v>
      </c>
      <c r="I73" s="5">
        <v>2.6309999999999998</v>
      </c>
      <c r="J73" s="6">
        <v>2.484</v>
      </c>
      <c r="K73" s="7">
        <v>2.4430000000000001</v>
      </c>
      <c r="L73" s="6">
        <v>2.4729999999999999</v>
      </c>
      <c r="M73" s="7">
        <v>3.0830000000000002</v>
      </c>
      <c r="N73" s="6">
        <v>2.9689999999999999</v>
      </c>
      <c r="O73" s="7">
        <v>3.0230000000000001</v>
      </c>
      <c r="P73" s="3">
        <f t="shared" si="7"/>
        <v>2.7294285714285711</v>
      </c>
      <c r="Q73" s="3">
        <f t="shared" si="8"/>
        <v>3.0830000000000002</v>
      </c>
      <c r="R73" s="3">
        <f t="shared" si="9"/>
        <v>2.4430000000000001</v>
      </c>
      <c r="S73" s="3">
        <f t="shared" si="10"/>
        <v>0.64000000000000012</v>
      </c>
      <c r="T73" s="3" cm="1">
        <f t="array" ref="T73">MAX((TRANSPOSE(I73:O73)-I73:O73)/I73:O73)</f>
        <v>0.26197298403602132</v>
      </c>
      <c r="U73" s="3" cm="1">
        <f t="array" ref="U73">MAX((J73:O73-I73:N73)/I73:N73)</f>
        <v>0.24666397088556424</v>
      </c>
      <c r="V73" s="3" cm="1">
        <f t="array" ref="V73">MIN((TRANSPOSE(I73:O73)-I73:O73)/I73:O73)</f>
        <v>-0.20759000973078173</v>
      </c>
      <c r="W73" s="3" cm="1">
        <f t="array" ref="W73">MIN((J73:O73-I73:N73)/I73:N73)</f>
        <v>-5.5872291904218857E-2</v>
      </c>
      <c r="X73" s="3">
        <v>0.94412770809578117</v>
      </c>
      <c r="Y73" s="3">
        <v>0.92854427974154319</v>
      </c>
      <c r="Z73" s="3">
        <v>0.9399467882934246</v>
      </c>
      <c r="AA73" s="3">
        <v>1.1717977955150134</v>
      </c>
      <c r="AB73" s="3">
        <v>1.128468263017864</v>
      </c>
      <c r="AC73" s="3">
        <f t="shared" si="6"/>
        <v>1.1489927784112506</v>
      </c>
    </row>
    <row r="74" spans="1:29" x14ac:dyDescent="0.3">
      <c r="A74">
        <v>2</v>
      </c>
      <c r="B74" t="s">
        <v>25</v>
      </c>
      <c r="C74" t="s">
        <v>224</v>
      </c>
      <c r="D74">
        <v>85</v>
      </c>
      <c r="E74" t="s">
        <v>225</v>
      </c>
      <c r="F74" t="s">
        <v>226</v>
      </c>
      <c r="G74" t="s">
        <v>519</v>
      </c>
      <c r="H74" s="4">
        <v>11</v>
      </c>
      <c r="I74" s="5">
        <v>15.005000000000001</v>
      </c>
      <c r="J74" s="6">
        <v>13.238</v>
      </c>
      <c r="K74" s="7">
        <v>12.81</v>
      </c>
      <c r="L74" s="6">
        <v>13.327</v>
      </c>
      <c r="M74" s="7">
        <v>12.074999999999999</v>
      </c>
      <c r="N74" s="6">
        <v>12.010999999999999</v>
      </c>
      <c r="O74" s="7">
        <v>9.3870000000000005</v>
      </c>
      <c r="P74" s="3">
        <f t="shared" si="7"/>
        <v>12.55042857142857</v>
      </c>
      <c r="Q74" s="3">
        <f t="shared" si="8"/>
        <v>15.005000000000001</v>
      </c>
      <c r="R74" s="3">
        <f t="shared" si="9"/>
        <v>9.3870000000000005</v>
      </c>
      <c r="S74" s="3">
        <f t="shared" si="10"/>
        <v>5.6180000000000003</v>
      </c>
      <c r="T74" s="3" cm="1">
        <f t="array" ref="T74">MAX((TRANSPOSE(I74:O74)-I74:O74)/I74:O74)</f>
        <v>0.5984872696282092</v>
      </c>
      <c r="U74" s="3" cm="1">
        <f t="array" ref="U74">MAX((J74:O74-I74:N74)/I74:N74)</f>
        <v>4.0359094457455072E-2</v>
      </c>
      <c r="V74" s="3" cm="1">
        <f t="array" ref="V74">MIN((TRANSPOSE(I74:O74)-I74:O74)/I74:O74)</f>
        <v>-0.37440853048983674</v>
      </c>
      <c r="W74" s="3" cm="1">
        <f t="array" ref="W74">MIN((J74:O74-I74:N74)/I74:N74)</f>
        <v>-0.21846640579468812</v>
      </c>
      <c r="X74" s="3">
        <v>0.88223925358213917</v>
      </c>
      <c r="Y74" s="3">
        <v>0.85371542819060309</v>
      </c>
      <c r="Z74" s="3">
        <v>0.88817060979673434</v>
      </c>
      <c r="AA74" s="3">
        <v>0.80473175608130609</v>
      </c>
      <c r="AB74" s="3">
        <v>0.80046651116294554</v>
      </c>
      <c r="AC74" s="3">
        <f t="shared" si="6"/>
        <v>0.62559146951016331</v>
      </c>
    </row>
    <row r="75" spans="1:29" x14ac:dyDescent="0.3">
      <c r="A75">
        <v>1</v>
      </c>
      <c r="B75" t="s">
        <v>35</v>
      </c>
      <c r="C75" t="s">
        <v>227</v>
      </c>
      <c r="D75">
        <v>50</v>
      </c>
      <c r="E75" t="s">
        <v>228</v>
      </c>
      <c r="F75" t="s">
        <v>229</v>
      </c>
      <c r="G75" t="s">
        <v>519</v>
      </c>
      <c r="H75" s="4">
        <v>2.4</v>
      </c>
      <c r="I75" s="5">
        <v>2.0230000000000001</v>
      </c>
      <c r="J75" s="6">
        <v>1.984</v>
      </c>
      <c r="K75" s="7">
        <v>1.9450000000000001</v>
      </c>
      <c r="L75" s="6">
        <v>2.2759999999999998</v>
      </c>
      <c r="M75" s="7">
        <v>1.946</v>
      </c>
      <c r="N75" s="6">
        <v>2.3980000000000001</v>
      </c>
      <c r="O75" s="7">
        <v>2.0259999999999998</v>
      </c>
      <c r="P75" s="3">
        <f t="shared" si="7"/>
        <v>2.0854285714285714</v>
      </c>
      <c r="Q75" s="3">
        <f t="shared" si="8"/>
        <v>2.3980000000000001</v>
      </c>
      <c r="R75" s="3">
        <f t="shared" si="9"/>
        <v>1.9450000000000001</v>
      </c>
      <c r="S75" s="3">
        <f t="shared" si="10"/>
        <v>0.45300000000000007</v>
      </c>
      <c r="T75" s="3" cm="1">
        <f t="array" ref="T75">MAX((TRANSPOSE(I75:O75)-I75:O75)/I75:O75)</f>
        <v>0.2329048843187661</v>
      </c>
      <c r="U75" s="3" cm="1">
        <f t="array" ref="U75">MAX((J75:O75-I75:N75)/I75:N75)</f>
        <v>0.23227132579650575</v>
      </c>
      <c r="V75" s="3" cm="1">
        <f t="array" ref="V75">MIN((TRANSPOSE(I75:O75)-I75:O75)/I75:O75)</f>
        <v>-0.18890742285237699</v>
      </c>
      <c r="W75" s="3" cm="1">
        <f t="array" ref="W75">MIN((J75:O75-I75:N75)/I75:N75)</f>
        <v>-0.15512927439532956</v>
      </c>
      <c r="X75" s="3">
        <v>0.98072170044488371</v>
      </c>
      <c r="Y75" s="3">
        <v>0.96144340088976765</v>
      </c>
      <c r="Z75" s="3">
        <v>1.1250617894216508</v>
      </c>
      <c r="AA75" s="3">
        <v>0.96193771626297564</v>
      </c>
      <c r="AB75" s="3">
        <v>1.1853682649530399</v>
      </c>
      <c r="AC75" s="3">
        <f t="shared" si="6"/>
        <v>1.0014829461196242</v>
      </c>
    </row>
    <row r="76" spans="1:29" x14ac:dyDescent="0.3">
      <c r="A76">
        <v>2</v>
      </c>
      <c r="B76" t="s">
        <v>25</v>
      </c>
      <c r="C76" t="s">
        <v>230</v>
      </c>
      <c r="D76">
        <v>53</v>
      </c>
      <c r="E76" t="s">
        <v>30</v>
      </c>
      <c r="F76" t="s">
        <v>231</v>
      </c>
      <c r="G76" t="s">
        <v>519</v>
      </c>
      <c r="H76" s="4">
        <v>12.2</v>
      </c>
      <c r="I76" s="5">
        <v>21.434000000000001</v>
      </c>
      <c r="J76" s="6">
        <v>14.98</v>
      </c>
      <c r="K76" s="7">
        <v>12.561999999999999</v>
      </c>
      <c r="L76" s="6">
        <v>14.223000000000001</v>
      </c>
      <c r="M76" s="7">
        <v>13.503</v>
      </c>
      <c r="N76" s="6">
        <v>12.624000000000001</v>
      </c>
      <c r="O76" s="7">
        <v>11.207000000000001</v>
      </c>
      <c r="P76" s="3">
        <f t="shared" si="7"/>
        <v>14.361857142857142</v>
      </c>
      <c r="Q76" s="3">
        <f t="shared" si="8"/>
        <v>21.434000000000001</v>
      </c>
      <c r="R76" s="3">
        <f t="shared" si="9"/>
        <v>11.207000000000001</v>
      </c>
      <c r="S76" s="3">
        <f t="shared" si="10"/>
        <v>10.227</v>
      </c>
      <c r="T76" s="3" cm="1">
        <f t="array" ref="T76">MAX((TRANSPOSE(I76:O76)-I76:O76)/I76:O76)</f>
        <v>0.91255465334166141</v>
      </c>
      <c r="U76" s="3" cm="1">
        <f t="array" ref="U76">MAX((J76:O76-I76:N76)/I76:N76)</f>
        <v>0.13222416812609469</v>
      </c>
      <c r="V76" s="3" cm="1">
        <f t="array" ref="V76">MIN((TRANSPOSE(I76:O76)-I76:O76)/I76:O76)</f>
        <v>-0.47713912475506204</v>
      </c>
      <c r="W76" s="3" cm="1">
        <f t="array" ref="W76">MIN((J76:O76-I76:N76)/I76:N76)</f>
        <v>-0.30111038536903983</v>
      </c>
      <c r="X76" s="3">
        <v>0.69888961463096011</v>
      </c>
      <c r="Y76" s="3">
        <v>0.58607819352430712</v>
      </c>
      <c r="Z76" s="3">
        <v>0.663571895119903</v>
      </c>
      <c r="AA76" s="3">
        <v>0.6299804049640757</v>
      </c>
      <c r="AB76" s="3">
        <v>0.58897079406550346</v>
      </c>
      <c r="AC76" s="3">
        <f t="shared" si="6"/>
        <v>0.52286087524493796</v>
      </c>
    </row>
    <row r="77" spans="1:29" x14ac:dyDescent="0.3">
      <c r="A77">
        <v>1</v>
      </c>
      <c r="B77" t="s">
        <v>35</v>
      </c>
      <c r="C77" t="s">
        <v>232</v>
      </c>
      <c r="D77">
        <v>36</v>
      </c>
      <c r="E77" t="s">
        <v>156</v>
      </c>
      <c r="F77" t="s">
        <v>233</v>
      </c>
      <c r="G77" t="s">
        <v>519</v>
      </c>
      <c r="H77" s="4">
        <v>34.799999999999997</v>
      </c>
      <c r="I77" s="5">
        <v>34.216000000000001</v>
      </c>
      <c r="J77" s="6">
        <v>33.731999999999999</v>
      </c>
      <c r="K77" s="7">
        <v>37.075000000000003</v>
      </c>
      <c r="L77" s="6">
        <v>36.195</v>
      </c>
      <c r="M77" s="7">
        <v>37.109000000000002</v>
      </c>
      <c r="N77" s="6">
        <v>34.853999999999999</v>
      </c>
      <c r="O77" s="7">
        <v>30.817</v>
      </c>
      <c r="P77" s="3">
        <f t="shared" si="7"/>
        <v>34.856857142857152</v>
      </c>
      <c r="Q77" s="3">
        <f t="shared" si="8"/>
        <v>37.109000000000002</v>
      </c>
      <c r="R77" s="3">
        <f t="shared" si="9"/>
        <v>30.817</v>
      </c>
      <c r="S77" s="3">
        <f t="shared" si="10"/>
        <v>6.2920000000000016</v>
      </c>
      <c r="T77" s="3" cm="1">
        <f t="array" ref="T77">MAX((TRANSPOSE(I77:O77)-I77:O77)/I77:O77)</f>
        <v>0.20417302138430093</v>
      </c>
      <c r="U77" s="3" cm="1">
        <f t="array" ref="U77">MAX((J77:O77-I77:N77)/I77:N77)</f>
        <v>9.9104707695956473E-2</v>
      </c>
      <c r="V77" s="3" cm="1">
        <f t="array" ref="V77">MIN((TRANSPOSE(I77:O77)-I77:O77)/I77:O77)</f>
        <v>-0.16955455549866613</v>
      </c>
      <c r="W77" s="3" cm="1">
        <f t="array" ref="W77">MIN((J77:O77-I77:N77)/I77:N77)</f>
        <v>-0.11582601709990242</v>
      </c>
      <c r="X77" s="3">
        <v>0.98585457096095386</v>
      </c>
      <c r="Y77" s="3">
        <v>1.0835574000467618</v>
      </c>
      <c r="Z77" s="3">
        <v>1.0578384381575872</v>
      </c>
      <c r="AA77" s="3">
        <v>1.0845510872106616</v>
      </c>
      <c r="AB77" s="3">
        <v>1.0186462473696516</v>
      </c>
      <c r="AC77" s="3">
        <f t="shared" si="6"/>
        <v>0.90066050970306288</v>
      </c>
    </row>
    <row r="78" spans="1:29" x14ac:dyDescent="0.3">
      <c r="A78">
        <v>3</v>
      </c>
      <c r="B78" t="s">
        <v>21</v>
      </c>
      <c r="C78" t="s">
        <v>234</v>
      </c>
      <c r="D78">
        <v>32</v>
      </c>
      <c r="E78" t="s">
        <v>52</v>
      </c>
      <c r="F78" t="s">
        <v>235</v>
      </c>
      <c r="G78" t="s">
        <v>519</v>
      </c>
      <c r="H78" s="4">
        <v>21.7</v>
      </c>
      <c r="I78" s="5">
        <v>34.216000000000001</v>
      </c>
      <c r="J78" s="6">
        <v>25.091999999999999</v>
      </c>
      <c r="K78" s="7">
        <v>26.492000000000001</v>
      </c>
      <c r="L78" s="6">
        <v>24.143000000000001</v>
      </c>
      <c r="M78" s="7">
        <v>23.706</v>
      </c>
      <c r="N78" s="6">
        <v>19.747</v>
      </c>
      <c r="O78" s="7">
        <v>20.332000000000001</v>
      </c>
      <c r="P78" s="3">
        <f t="shared" si="7"/>
        <v>24.818285714285715</v>
      </c>
      <c r="Q78" s="3">
        <f t="shared" si="8"/>
        <v>34.216000000000001</v>
      </c>
      <c r="R78" s="3">
        <f t="shared" si="9"/>
        <v>19.747</v>
      </c>
      <c r="S78" s="3">
        <f t="shared" si="10"/>
        <v>14.469000000000001</v>
      </c>
      <c r="T78" s="3" cm="1">
        <f t="array" ref="T78">MAX((TRANSPOSE(I78:O78)-I78:O78)/I78:O78)</f>
        <v>0.73271889400921664</v>
      </c>
      <c r="U78" s="3" cm="1">
        <f t="array" ref="U78">MAX((J78:O78-I78:N78)/I78:N78)</f>
        <v>5.5794675593814846E-2</v>
      </c>
      <c r="V78" s="3" cm="1">
        <f t="array" ref="V78">MIN((TRANSPOSE(I78:O78)-I78:O78)/I78:O78)</f>
        <v>-0.42287234042553196</v>
      </c>
      <c r="W78" s="3" cm="1">
        <f t="array" ref="W78">MIN((J78:O78-I78:N78)/I78:N78)</f>
        <v>-0.26665887304185182</v>
      </c>
      <c r="X78" s="3">
        <v>0.73334112695814813</v>
      </c>
      <c r="Y78" s="3">
        <v>0.77425765723638063</v>
      </c>
      <c r="Z78" s="3">
        <v>0.70560556464811786</v>
      </c>
      <c r="AA78" s="3">
        <v>0.69283376198269808</v>
      </c>
      <c r="AB78" s="3">
        <v>0.5771276595744681</v>
      </c>
      <c r="AC78" s="3">
        <f t="shared" si="6"/>
        <v>0.5942249240121581</v>
      </c>
    </row>
    <row r="79" spans="1:29" x14ac:dyDescent="0.3">
      <c r="A79">
        <v>2</v>
      </c>
      <c r="B79" t="s">
        <v>25</v>
      </c>
      <c r="C79" t="s">
        <v>236</v>
      </c>
      <c r="D79">
        <v>115</v>
      </c>
      <c r="E79" t="s">
        <v>237</v>
      </c>
      <c r="F79" t="s">
        <v>238</v>
      </c>
      <c r="G79" t="s">
        <v>519</v>
      </c>
      <c r="H79" s="4">
        <v>2.7</v>
      </c>
      <c r="I79" s="5">
        <v>1.7190000000000001</v>
      </c>
      <c r="J79" s="6">
        <v>2.4129999999999998</v>
      </c>
      <c r="K79" s="7">
        <v>2.5680000000000001</v>
      </c>
      <c r="L79" s="6">
        <v>2.5379999999999998</v>
      </c>
      <c r="M79" s="7">
        <v>2.4849999999999999</v>
      </c>
      <c r="N79" s="6">
        <v>2.4609999999999999</v>
      </c>
      <c r="O79" s="7">
        <v>2.5579999999999998</v>
      </c>
      <c r="P79" s="3">
        <f t="shared" si="7"/>
        <v>2.3917142857142855</v>
      </c>
      <c r="Q79" s="3">
        <f t="shared" si="8"/>
        <v>2.5680000000000001</v>
      </c>
      <c r="R79" s="3">
        <f t="shared" si="9"/>
        <v>1.7190000000000001</v>
      </c>
      <c r="S79" s="3">
        <f t="shared" si="10"/>
        <v>0.84899999999999998</v>
      </c>
      <c r="T79" s="3" cm="1">
        <f t="array" ref="T79">MAX((TRANSPOSE(I79:O79)-I79:O79)/I79:O79)</f>
        <v>0.49389179755671897</v>
      </c>
      <c r="U79" s="3" cm="1">
        <f t="array" ref="U79">MAX((J79:O79-I79:N79)/I79:N79)</f>
        <v>0.40372309482257107</v>
      </c>
      <c r="V79" s="3" cm="1">
        <f t="array" ref="V79">MIN((TRANSPOSE(I79:O79)-I79:O79)/I79:O79)</f>
        <v>-0.33060747663551399</v>
      </c>
      <c r="W79" s="3" cm="1">
        <f t="array" ref="W79">MIN((J79:O79-I79:N79)/I79:N79)</f>
        <v>-2.0882584712371921E-2</v>
      </c>
      <c r="X79" s="3">
        <v>1.4037230948225712</v>
      </c>
      <c r="Y79" s="3">
        <v>1.493891797556719</v>
      </c>
      <c r="Z79" s="3">
        <v>1.4764397905759161</v>
      </c>
      <c r="AA79" s="3">
        <v>1.4456079115764979</v>
      </c>
      <c r="AB79" s="3">
        <v>1.4316463059918556</v>
      </c>
      <c r="AC79" s="3">
        <f t="shared" si="6"/>
        <v>1.4880744618964512</v>
      </c>
    </row>
    <row r="80" spans="1:29" x14ac:dyDescent="0.3">
      <c r="A80">
        <v>2</v>
      </c>
      <c r="B80" t="s">
        <v>25</v>
      </c>
      <c r="C80" t="s">
        <v>239</v>
      </c>
      <c r="D80">
        <v>61</v>
      </c>
      <c r="E80" t="s">
        <v>240</v>
      </c>
      <c r="F80" t="s">
        <v>241</v>
      </c>
      <c r="G80" t="s">
        <v>519</v>
      </c>
      <c r="H80" s="4">
        <v>14.6</v>
      </c>
      <c r="I80" s="5">
        <v>19.827000000000002</v>
      </c>
      <c r="J80" s="6">
        <v>14.98</v>
      </c>
      <c r="K80" s="7">
        <v>14.954000000000001</v>
      </c>
      <c r="L80" s="6">
        <v>17.369</v>
      </c>
      <c r="M80" s="7">
        <v>16.687000000000001</v>
      </c>
      <c r="N80" s="6">
        <v>15.747</v>
      </c>
      <c r="O80" s="7">
        <v>13.573</v>
      </c>
      <c r="P80" s="3">
        <f t="shared" si="7"/>
        <v>16.16242857142857</v>
      </c>
      <c r="Q80" s="3">
        <f t="shared" si="8"/>
        <v>19.827000000000002</v>
      </c>
      <c r="R80" s="3">
        <f t="shared" si="9"/>
        <v>13.573</v>
      </c>
      <c r="S80" s="3">
        <f t="shared" si="10"/>
        <v>6.2540000000000013</v>
      </c>
      <c r="T80" s="3" cm="1">
        <f t="array" ref="T80">MAX((TRANSPOSE(I80:O80)-I80:O80)/I80:O80)</f>
        <v>0.46076770058203798</v>
      </c>
      <c r="U80" s="3" cm="1">
        <f t="array" ref="U80">MAX((J80:O80-I80:N80)/I80:N80)</f>
        <v>0.16149525210645974</v>
      </c>
      <c r="V80" s="3" cm="1">
        <f t="array" ref="V80">MIN((TRANSPOSE(I80:O80)-I80:O80)/I80:O80)</f>
        <v>-0.31542845614566001</v>
      </c>
      <c r="W80" s="3" cm="1">
        <f t="array" ref="W80">MIN((J80:O80-I80:N80)/I80:N80)</f>
        <v>-0.24446461895395172</v>
      </c>
      <c r="X80" s="3">
        <v>0.75553538104604823</v>
      </c>
      <c r="Y80" s="3">
        <v>0.7542240379280778</v>
      </c>
      <c r="Z80" s="3">
        <v>0.87602763907802483</v>
      </c>
      <c r="AA80" s="3">
        <v>0.84163010036818475</v>
      </c>
      <c r="AB80" s="3">
        <v>0.79422000302617635</v>
      </c>
      <c r="AC80" s="3">
        <f t="shared" si="6"/>
        <v>0.68457154385434005</v>
      </c>
    </row>
    <row r="81" spans="1:29" x14ac:dyDescent="0.3">
      <c r="A81">
        <v>1</v>
      </c>
      <c r="B81" t="s">
        <v>35</v>
      </c>
      <c r="C81" t="s">
        <v>242</v>
      </c>
      <c r="D81">
        <v>37</v>
      </c>
      <c r="E81" t="s">
        <v>67</v>
      </c>
      <c r="F81" t="s">
        <v>243</v>
      </c>
      <c r="G81" t="s">
        <v>519</v>
      </c>
      <c r="H81" s="4">
        <v>3.7</v>
      </c>
      <c r="I81" s="5">
        <v>3.3610000000000002</v>
      </c>
      <c r="J81" s="6">
        <v>3.7709999999999999</v>
      </c>
      <c r="K81" s="7">
        <v>3.5019999999999998</v>
      </c>
      <c r="L81" s="6">
        <v>3.7829999999999999</v>
      </c>
      <c r="M81" s="7">
        <v>3.323</v>
      </c>
      <c r="N81" s="6">
        <v>3.6040000000000001</v>
      </c>
      <c r="O81" s="7">
        <v>3.355</v>
      </c>
      <c r="P81" s="3">
        <f t="shared" si="7"/>
        <v>3.528428571428571</v>
      </c>
      <c r="Q81" s="3">
        <f t="shared" si="8"/>
        <v>3.7829999999999999</v>
      </c>
      <c r="R81" s="3">
        <f t="shared" si="9"/>
        <v>3.323</v>
      </c>
      <c r="S81" s="3">
        <f t="shared" si="10"/>
        <v>0.45999999999999996</v>
      </c>
      <c r="T81" s="3" cm="1">
        <f t="array" ref="T81">MAX((TRANSPOSE(I81:O81)-I81:O81)/I81:O81)</f>
        <v>0.13842913030394222</v>
      </c>
      <c r="U81" s="3" cm="1">
        <f t="array" ref="U81">MAX((J81:O81-I81:N81)/I81:N81)</f>
        <v>0.12198750371913111</v>
      </c>
      <c r="V81" s="3" cm="1">
        <f t="array" ref="V81">MIN((TRANSPOSE(I81:O81)-I81:O81)/I81:O81)</f>
        <v>-0.12159661644197726</v>
      </c>
      <c r="W81" s="3" cm="1">
        <f t="array" ref="W81">MIN((J81:O81-I81:N81)/I81:N81)</f>
        <v>-0.12159661644197726</v>
      </c>
      <c r="X81" s="3">
        <v>1.1219875037191311</v>
      </c>
      <c r="Y81" s="3">
        <v>1.0419518000595061</v>
      </c>
      <c r="Z81" s="3">
        <v>1.1255578696816422</v>
      </c>
      <c r="AA81" s="3">
        <v>0.98869384111871461</v>
      </c>
      <c r="AB81" s="3">
        <v>1.0722999107408508</v>
      </c>
      <c r="AC81" s="3">
        <f t="shared" si="6"/>
        <v>0.99821481701874437</v>
      </c>
    </row>
    <row r="82" spans="1:29" x14ac:dyDescent="0.3">
      <c r="A82">
        <v>2</v>
      </c>
      <c r="B82" t="s">
        <v>25</v>
      </c>
      <c r="C82" t="s">
        <v>244</v>
      </c>
      <c r="D82">
        <v>10</v>
      </c>
      <c r="E82" t="s">
        <v>245</v>
      </c>
      <c r="F82" t="s">
        <v>246</v>
      </c>
      <c r="G82" t="s">
        <v>519</v>
      </c>
      <c r="H82" s="4">
        <v>3.7</v>
      </c>
      <c r="I82" s="5">
        <v>2.6920000000000002</v>
      </c>
      <c r="J82" s="6">
        <v>2.8410000000000002</v>
      </c>
      <c r="K82" s="7">
        <v>2.8170000000000002</v>
      </c>
      <c r="L82" s="6">
        <v>2.8660000000000001</v>
      </c>
      <c r="M82" s="7">
        <v>3.1429999999999998</v>
      </c>
      <c r="N82" s="6">
        <v>3.4140000000000001</v>
      </c>
      <c r="O82" s="7">
        <v>3.82</v>
      </c>
      <c r="P82" s="3">
        <f t="shared" si="7"/>
        <v>3.0847142857142864</v>
      </c>
      <c r="Q82" s="3">
        <f t="shared" si="8"/>
        <v>3.82</v>
      </c>
      <c r="R82" s="3">
        <f t="shared" si="9"/>
        <v>2.6920000000000002</v>
      </c>
      <c r="S82" s="3">
        <f t="shared" si="10"/>
        <v>1.1279999999999997</v>
      </c>
      <c r="T82" s="3" cm="1">
        <f t="array" ref="T82">MAX((TRANSPOSE(I82:O82)-I82:O82)/I82:O82)</f>
        <v>0.41901931649331337</v>
      </c>
      <c r="U82" s="3" cm="1">
        <f t="array" ref="U82">MAX((J82:O82-I82:N82)/I82:N82)</f>
        <v>0.11892208553016979</v>
      </c>
      <c r="V82" s="3" cm="1">
        <f t="array" ref="V82">MIN((TRANSPOSE(I82:O82)-I82:O82)/I82:O82)</f>
        <v>-0.29528795811518316</v>
      </c>
      <c r="W82" s="3" cm="1">
        <f t="array" ref="W82">MIN((J82:O82-I82:N82)/I82:N82)</f>
        <v>-8.4477296726504815E-3</v>
      </c>
      <c r="X82" s="3">
        <v>1.0553491827637445</v>
      </c>
      <c r="Y82" s="3">
        <v>1.0464338781575038</v>
      </c>
      <c r="Z82" s="3">
        <v>1.0646359583952452</v>
      </c>
      <c r="AA82" s="3">
        <v>1.1675334323922733</v>
      </c>
      <c r="AB82" s="3">
        <v>1.2682020802377414</v>
      </c>
      <c r="AC82" s="3">
        <f t="shared" si="6"/>
        <v>1.4190193164933134</v>
      </c>
    </row>
    <row r="83" spans="1:29" x14ac:dyDescent="0.3">
      <c r="A83">
        <v>2</v>
      </c>
      <c r="B83" t="s">
        <v>25</v>
      </c>
      <c r="C83" t="s">
        <v>247</v>
      </c>
      <c r="D83">
        <v>62</v>
      </c>
      <c r="E83" t="s">
        <v>248</v>
      </c>
      <c r="F83" t="s">
        <v>249</v>
      </c>
      <c r="G83" t="s">
        <v>519</v>
      </c>
      <c r="H83" s="4">
        <v>4.7</v>
      </c>
      <c r="I83" s="5">
        <v>4.0919999999999996</v>
      </c>
      <c r="J83" s="6">
        <v>4.7</v>
      </c>
      <c r="K83" s="7">
        <v>4.2489999999999997</v>
      </c>
      <c r="L83" s="6">
        <v>4.6340000000000003</v>
      </c>
      <c r="M83" s="7">
        <v>3.9220000000000002</v>
      </c>
      <c r="N83" s="6">
        <v>4.43</v>
      </c>
      <c r="O83" s="7">
        <v>5.2009999999999996</v>
      </c>
      <c r="P83" s="3">
        <f t="shared" si="7"/>
        <v>4.4611428571428577</v>
      </c>
      <c r="Q83" s="3">
        <f t="shared" si="8"/>
        <v>5.2009999999999996</v>
      </c>
      <c r="R83" s="3">
        <f t="shared" si="9"/>
        <v>3.9220000000000002</v>
      </c>
      <c r="S83" s="3">
        <f t="shared" si="10"/>
        <v>1.2789999999999995</v>
      </c>
      <c r="T83" s="3" cm="1">
        <f t="array" ref="T83">MAX((TRANSPOSE(I83:O83)-I83:O83)/I83:O83)</f>
        <v>0.32610912799592029</v>
      </c>
      <c r="U83" s="3" cm="1">
        <f t="array" ref="U83">MAX((J83:O83-I83:N83)/I83:N83)</f>
        <v>0.17404063205417605</v>
      </c>
      <c r="V83" s="3" cm="1">
        <f t="array" ref="V83">MIN((TRANSPOSE(I83:O83)-I83:O83)/I83:O83)</f>
        <v>-0.24591424726014219</v>
      </c>
      <c r="W83" s="3" cm="1">
        <f t="array" ref="W83">MIN((J83:O83-I83:N83)/I83:N83)</f>
        <v>-0.15364695727233493</v>
      </c>
      <c r="X83" s="3">
        <v>1.1485826001955035</v>
      </c>
      <c r="Y83" s="3">
        <v>1.0383675464320625</v>
      </c>
      <c r="Z83" s="3">
        <v>1.132453567937439</v>
      </c>
      <c r="AA83" s="3">
        <v>0.95845552297165215</v>
      </c>
      <c r="AB83" s="3">
        <v>1.0826001955034212</v>
      </c>
      <c r="AC83" s="3">
        <f t="shared" si="6"/>
        <v>1.2710166177908113</v>
      </c>
    </row>
    <row r="84" spans="1:29" x14ac:dyDescent="0.3">
      <c r="A84">
        <v>2</v>
      </c>
      <c r="B84" t="s">
        <v>25</v>
      </c>
      <c r="C84" t="s">
        <v>250</v>
      </c>
      <c r="D84">
        <v>28</v>
      </c>
      <c r="E84" t="s">
        <v>55</v>
      </c>
      <c r="F84" t="s">
        <v>251</v>
      </c>
      <c r="G84" t="s">
        <v>519</v>
      </c>
      <c r="H84" s="4">
        <v>2.9</v>
      </c>
      <c r="I84" s="5">
        <v>1.901</v>
      </c>
      <c r="J84" s="6">
        <v>1.984</v>
      </c>
      <c r="K84" s="7">
        <v>2.319</v>
      </c>
      <c r="L84" s="6">
        <v>2.0139999999999998</v>
      </c>
      <c r="M84" s="7">
        <v>2.7240000000000002</v>
      </c>
      <c r="N84" s="6">
        <v>2.5880000000000001</v>
      </c>
      <c r="O84" s="7">
        <v>2.956</v>
      </c>
      <c r="P84" s="3">
        <f t="shared" si="7"/>
        <v>2.3551428571428574</v>
      </c>
      <c r="Q84" s="3">
        <f t="shared" si="8"/>
        <v>2.956</v>
      </c>
      <c r="R84" s="3">
        <f t="shared" si="9"/>
        <v>1.901</v>
      </c>
      <c r="S84" s="3">
        <f t="shared" si="10"/>
        <v>1.0549999999999999</v>
      </c>
      <c r="T84" s="3" cm="1">
        <f t="array" ref="T84">MAX((TRANSPOSE(I84:O84)-I84:O84)/I84:O84)</f>
        <v>0.55497106785902151</v>
      </c>
      <c r="U84" s="3" cm="1">
        <f t="array" ref="U84">MAX((J84:O84-I84:N84)/I84:N84)</f>
        <v>0.35253227408143023</v>
      </c>
      <c r="V84" s="3" cm="1">
        <f t="array" ref="V84">MIN((TRANSPOSE(I84:O84)-I84:O84)/I84:O84)</f>
        <v>-0.35690121786197565</v>
      </c>
      <c r="W84" s="3" cm="1">
        <f t="array" ref="W84">MIN((J84:O84-I84:N84)/I84:N84)</f>
        <v>-0.1315222078482105</v>
      </c>
      <c r="X84" s="3">
        <v>1.0436612309310889</v>
      </c>
      <c r="Y84" s="3">
        <v>1.2198842714360862</v>
      </c>
      <c r="Z84" s="3">
        <v>1.0594423987375066</v>
      </c>
      <c r="AA84" s="3">
        <v>1.4329300368227249</v>
      </c>
      <c r="AB84" s="3">
        <v>1.3613887427669649</v>
      </c>
      <c r="AC84" s="3">
        <f t="shared" si="6"/>
        <v>1.5549710678590216</v>
      </c>
    </row>
    <row r="85" spans="1:29" x14ac:dyDescent="0.3">
      <c r="A85">
        <v>1</v>
      </c>
      <c r="B85" t="s">
        <v>35</v>
      </c>
      <c r="C85" t="s">
        <v>252</v>
      </c>
      <c r="D85">
        <v>26</v>
      </c>
      <c r="E85" t="s">
        <v>98</v>
      </c>
      <c r="F85" t="s">
        <v>253</v>
      </c>
      <c r="G85" t="s">
        <v>519</v>
      </c>
      <c r="H85" s="4">
        <v>4</v>
      </c>
      <c r="I85" s="5">
        <v>3.24</v>
      </c>
      <c r="J85" s="6">
        <v>3.3420000000000001</v>
      </c>
      <c r="K85" s="7">
        <v>3.3149999999999999</v>
      </c>
      <c r="L85" s="6">
        <v>3.5859999999999999</v>
      </c>
      <c r="M85" s="7">
        <v>3.6819999999999999</v>
      </c>
      <c r="N85" s="6">
        <v>3.4769999999999999</v>
      </c>
      <c r="O85" s="7">
        <v>3.8860000000000001</v>
      </c>
      <c r="P85" s="3">
        <f t="shared" si="7"/>
        <v>3.504</v>
      </c>
      <c r="Q85" s="3">
        <f t="shared" si="8"/>
        <v>3.8860000000000001</v>
      </c>
      <c r="R85" s="3">
        <f t="shared" si="9"/>
        <v>3.24</v>
      </c>
      <c r="S85" s="3">
        <f t="shared" si="10"/>
        <v>0.64599999999999991</v>
      </c>
      <c r="T85" s="3" cm="1">
        <f t="array" ref="T85">MAX((TRANSPOSE(I85:O85)-I85:O85)/I85:O85)</f>
        <v>0.19938271604938268</v>
      </c>
      <c r="U85" s="3" cm="1">
        <f t="array" ref="U85">MAX((J85:O85-I85:N85)/I85:N85)</f>
        <v>0.11763014092608579</v>
      </c>
      <c r="V85" s="3" cm="1">
        <f t="array" ref="V85">MIN((TRANSPOSE(I85:O85)-I85:O85)/I85:O85)</f>
        <v>-0.16623777663407099</v>
      </c>
      <c r="W85" s="3" cm="1">
        <f t="array" ref="W85">MIN((J85:O85-I85:N85)/I85:N85)</f>
        <v>-5.5676262900597524E-2</v>
      </c>
      <c r="X85" s="3">
        <v>1.0314814814814814</v>
      </c>
      <c r="Y85" s="3">
        <v>1.0231481481481481</v>
      </c>
      <c r="Z85" s="3">
        <v>1.1067901234567901</v>
      </c>
      <c r="AA85" s="3">
        <v>1.1364197530864197</v>
      </c>
      <c r="AB85" s="3">
        <v>1.073148148148148</v>
      </c>
      <c r="AC85" s="3">
        <f t="shared" si="6"/>
        <v>1.1993827160493826</v>
      </c>
    </row>
    <row r="86" spans="1:29" x14ac:dyDescent="0.3">
      <c r="A86">
        <v>2</v>
      </c>
      <c r="B86" t="s">
        <v>25</v>
      </c>
      <c r="C86" t="s">
        <v>254</v>
      </c>
      <c r="D86">
        <v>30</v>
      </c>
      <c r="E86" t="s">
        <v>58</v>
      </c>
      <c r="F86" t="s">
        <v>255</v>
      </c>
      <c r="G86" t="s">
        <v>519</v>
      </c>
      <c r="H86" s="4">
        <v>4</v>
      </c>
      <c r="I86" s="5">
        <v>4.5170000000000003</v>
      </c>
      <c r="J86" s="6">
        <v>4.9249999999999998</v>
      </c>
      <c r="K86" s="7">
        <v>4.0620000000000003</v>
      </c>
      <c r="L86" s="6">
        <v>3.9140000000000001</v>
      </c>
      <c r="M86" s="7">
        <v>3.802</v>
      </c>
      <c r="N86" s="6">
        <v>3.5409999999999999</v>
      </c>
      <c r="O86" s="7">
        <v>3.7530000000000001</v>
      </c>
      <c r="P86" s="3">
        <f t="shared" si="7"/>
        <v>4.0734285714285718</v>
      </c>
      <c r="Q86" s="3">
        <f t="shared" si="8"/>
        <v>4.9249999999999998</v>
      </c>
      <c r="R86" s="3">
        <f t="shared" si="9"/>
        <v>3.5409999999999999</v>
      </c>
      <c r="S86" s="3">
        <f t="shared" si="10"/>
        <v>1.3839999999999999</v>
      </c>
      <c r="T86" s="3" cm="1">
        <f t="array" ref="T86">MAX((TRANSPOSE(I86:O86)-I86:O86)/I86:O86)</f>
        <v>0.39085004236091497</v>
      </c>
      <c r="U86" s="3" cm="1">
        <f t="array" ref="U86">MAX((J86:O86-I86:N86)/I86:N86)</f>
        <v>9.032543723710415E-2</v>
      </c>
      <c r="V86" s="3" cm="1">
        <f t="array" ref="V86">MIN((TRANSPOSE(I86:O86)-I86:O86)/I86:O86)</f>
        <v>-0.28101522842639592</v>
      </c>
      <c r="W86" s="3" cm="1">
        <f t="array" ref="W86">MIN((J86:O86-I86:N86)/I86:N86)</f>
        <v>-0.175228426395939</v>
      </c>
      <c r="X86" s="3">
        <v>1.0903254372371041</v>
      </c>
      <c r="Y86" s="3">
        <v>0.89926942661058229</v>
      </c>
      <c r="Z86" s="3">
        <v>0.86650431702457376</v>
      </c>
      <c r="AA86" s="3">
        <v>0.84170909895948631</v>
      </c>
      <c r="AB86" s="3">
        <v>0.78392738543280926</v>
      </c>
      <c r="AC86" s="3">
        <f t="shared" si="6"/>
        <v>0.83086119105601064</v>
      </c>
    </row>
    <row r="87" spans="1:29" x14ac:dyDescent="0.3">
      <c r="A87">
        <v>2</v>
      </c>
      <c r="B87" t="s">
        <v>25</v>
      </c>
      <c r="C87" t="s">
        <v>256</v>
      </c>
      <c r="D87">
        <v>70</v>
      </c>
      <c r="E87" t="s">
        <v>23</v>
      </c>
      <c r="F87" t="s">
        <v>257</v>
      </c>
      <c r="G87" t="s">
        <v>519</v>
      </c>
      <c r="H87" s="4">
        <v>4</v>
      </c>
      <c r="I87" s="5">
        <v>3.605</v>
      </c>
      <c r="J87" s="6">
        <v>4.0570000000000004</v>
      </c>
      <c r="K87" s="7">
        <v>3.4390000000000001</v>
      </c>
      <c r="L87" s="6">
        <v>3.6520000000000001</v>
      </c>
      <c r="M87" s="7">
        <v>3.742</v>
      </c>
      <c r="N87" s="6">
        <v>4.24</v>
      </c>
      <c r="O87" s="7">
        <v>3.8860000000000001</v>
      </c>
      <c r="P87" s="3">
        <f t="shared" si="7"/>
        <v>3.8029999999999999</v>
      </c>
      <c r="Q87" s="3">
        <f t="shared" si="8"/>
        <v>4.24</v>
      </c>
      <c r="R87" s="3">
        <f t="shared" si="9"/>
        <v>3.4390000000000001</v>
      </c>
      <c r="S87" s="3">
        <f t="shared" si="10"/>
        <v>0.80100000000000016</v>
      </c>
      <c r="T87" s="3" cm="1">
        <f t="array" ref="T87">MAX((TRANSPOSE(I87:O87)-I87:O87)/I87:O87)</f>
        <v>0.232916545507415</v>
      </c>
      <c r="U87" s="3" cm="1">
        <f t="array" ref="U87">MAX((J87:O87-I87:N87)/I87:N87)</f>
        <v>0.13308391234633893</v>
      </c>
      <c r="V87" s="3" cm="1">
        <f t="array" ref="V87">MIN((TRANSPOSE(I87:O87)-I87:O87)/I87:O87)</f>
        <v>-0.18891509433962267</v>
      </c>
      <c r="W87" s="3" cm="1">
        <f t="array" ref="W87">MIN((J87:O87-I87:N87)/I87:N87)</f>
        <v>-0.15232930736997788</v>
      </c>
      <c r="X87" s="3">
        <v>1.1253814147018031</v>
      </c>
      <c r="Y87" s="3">
        <v>0.9539528432732316</v>
      </c>
      <c r="Z87" s="3">
        <v>1.0130374479889044</v>
      </c>
      <c r="AA87" s="3">
        <v>1.0380027739251041</v>
      </c>
      <c r="AB87" s="3">
        <v>1.1761442441054093</v>
      </c>
      <c r="AC87" s="3">
        <f t="shared" si="6"/>
        <v>1.0779472954230236</v>
      </c>
    </row>
    <row r="88" spans="1:29" x14ac:dyDescent="0.3">
      <c r="A88">
        <v>2</v>
      </c>
      <c r="B88" t="s">
        <v>25</v>
      </c>
      <c r="C88" t="s">
        <v>258</v>
      </c>
      <c r="D88">
        <v>72</v>
      </c>
      <c r="E88" t="s">
        <v>259</v>
      </c>
      <c r="F88" t="s">
        <v>260</v>
      </c>
      <c r="G88" t="s">
        <v>519</v>
      </c>
      <c r="H88" s="4">
        <v>7.9</v>
      </c>
      <c r="I88" s="5">
        <v>9.5</v>
      </c>
      <c r="J88" s="6">
        <v>8.9689999999999994</v>
      </c>
      <c r="K88" s="7">
        <v>8.6</v>
      </c>
      <c r="L88" s="6">
        <v>10.170999999999999</v>
      </c>
      <c r="M88" s="7">
        <v>8.0310000000000006</v>
      </c>
      <c r="N88" s="6">
        <v>7.5119999999999996</v>
      </c>
      <c r="O88" s="7">
        <v>6.4749999999999996</v>
      </c>
      <c r="P88" s="3">
        <f t="shared" si="7"/>
        <v>8.4654285714285713</v>
      </c>
      <c r="Q88" s="3">
        <f t="shared" si="8"/>
        <v>10.170999999999999</v>
      </c>
      <c r="R88" s="3">
        <f t="shared" si="9"/>
        <v>6.4749999999999996</v>
      </c>
      <c r="S88" s="3">
        <f t="shared" si="10"/>
        <v>3.6959999999999997</v>
      </c>
      <c r="T88" s="3" cm="1">
        <f t="array" ref="T88">MAX((TRANSPOSE(I88:O88)-I88:O88)/I88:O88)</f>
        <v>0.57081081081081075</v>
      </c>
      <c r="U88" s="3" cm="1">
        <f t="array" ref="U88">MAX((J88:O88-I88:N88)/I88:N88)</f>
        <v>0.18267441860465114</v>
      </c>
      <c r="V88" s="3" cm="1">
        <f t="array" ref="V88">MIN((TRANSPOSE(I88:O88)-I88:O88)/I88:O88)</f>
        <v>-0.3633860977288369</v>
      </c>
      <c r="W88" s="3" cm="1">
        <f t="array" ref="W88">MIN((J88:O88-I88:N88)/I88:N88)</f>
        <v>-0.21040212368498662</v>
      </c>
      <c r="X88" s="3">
        <v>0.94410526315789467</v>
      </c>
      <c r="Y88" s="3">
        <v>0.90526315789473677</v>
      </c>
      <c r="Z88" s="3">
        <v>1.0706315789473684</v>
      </c>
      <c r="AA88" s="3">
        <v>0.84536842105263166</v>
      </c>
      <c r="AB88" s="3">
        <v>0.79073684210526307</v>
      </c>
      <c r="AC88" s="3">
        <f t="shared" si="6"/>
        <v>0.68157894736842106</v>
      </c>
    </row>
    <row r="89" spans="1:29" x14ac:dyDescent="0.3">
      <c r="A89">
        <v>2</v>
      </c>
      <c r="B89" t="s">
        <v>25</v>
      </c>
      <c r="C89" t="s">
        <v>261</v>
      </c>
      <c r="D89">
        <v>77</v>
      </c>
      <c r="E89" t="s">
        <v>262</v>
      </c>
      <c r="F89" t="s">
        <v>263</v>
      </c>
      <c r="G89" t="s">
        <v>519</v>
      </c>
      <c r="H89" s="4">
        <v>6.8</v>
      </c>
      <c r="I89" s="5">
        <v>3.8479999999999999</v>
      </c>
      <c r="J89" s="6">
        <v>5.8230000000000004</v>
      </c>
      <c r="K89" s="7">
        <v>4.1859999999999999</v>
      </c>
      <c r="L89" s="6">
        <v>8.0660000000000007</v>
      </c>
      <c r="M89" s="7">
        <v>4.5199999999999996</v>
      </c>
      <c r="N89" s="6">
        <v>7.5119999999999996</v>
      </c>
      <c r="O89" s="7">
        <v>6.8390000000000004</v>
      </c>
      <c r="P89" s="3">
        <f t="shared" si="7"/>
        <v>5.8277142857142854</v>
      </c>
      <c r="Q89" s="3">
        <f t="shared" si="8"/>
        <v>8.0660000000000007</v>
      </c>
      <c r="R89" s="3">
        <f t="shared" si="9"/>
        <v>3.8479999999999999</v>
      </c>
      <c r="S89" s="3">
        <f t="shared" si="10"/>
        <v>4.2180000000000009</v>
      </c>
      <c r="T89" s="3" cm="1">
        <f t="array" ref="T89">MAX((TRANSPOSE(I89:O89)-I89:O89)/I89:O89)</f>
        <v>1.0961538461538465</v>
      </c>
      <c r="U89" s="3" cm="1">
        <f t="array" ref="U89">MAX((J89:O89-I89:N89)/I89:N89)</f>
        <v>0.92689918776875313</v>
      </c>
      <c r="V89" s="3" cm="1">
        <f t="array" ref="V89">MIN((TRANSPOSE(I89:O89)-I89:O89)/I89:O89)</f>
        <v>-0.52293577981651385</v>
      </c>
      <c r="W89" s="3" cm="1">
        <f t="array" ref="W89">MIN((J89:O89-I89:N89)/I89:N89)</f>
        <v>-0.43962310934788007</v>
      </c>
      <c r="X89" s="3">
        <v>1.5132536382536383</v>
      </c>
      <c r="Y89" s="3">
        <v>1.0878378378378379</v>
      </c>
      <c r="Z89" s="3">
        <v>2.0961538461538463</v>
      </c>
      <c r="AA89" s="3">
        <v>1.1746361746361746</v>
      </c>
      <c r="AB89" s="3">
        <v>1.9521829521829521</v>
      </c>
      <c r="AC89" s="3">
        <f t="shared" si="6"/>
        <v>1.7772869022869024</v>
      </c>
    </row>
    <row r="90" spans="1:29" x14ac:dyDescent="0.3">
      <c r="A90">
        <v>3</v>
      </c>
      <c r="B90" t="s">
        <v>21</v>
      </c>
      <c r="C90" t="s">
        <v>264</v>
      </c>
      <c r="D90">
        <v>34</v>
      </c>
      <c r="E90" t="s">
        <v>136</v>
      </c>
      <c r="F90" t="s">
        <v>265</v>
      </c>
      <c r="G90" t="s">
        <v>519</v>
      </c>
      <c r="H90" s="4">
        <v>31</v>
      </c>
      <c r="I90" s="5">
        <v>30.846</v>
      </c>
      <c r="J90" s="6">
        <v>34.110999999999997</v>
      </c>
      <c r="K90" s="7">
        <v>31.864999999999998</v>
      </c>
      <c r="L90" s="6">
        <v>33.323</v>
      </c>
      <c r="M90" s="7">
        <v>33.295000000000002</v>
      </c>
      <c r="N90" s="6">
        <v>33.012</v>
      </c>
      <c r="O90" s="7">
        <v>32.207000000000001</v>
      </c>
      <c r="P90" s="3">
        <f t="shared" si="7"/>
        <v>32.665571428571425</v>
      </c>
      <c r="Q90" s="3">
        <f t="shared" si="8"/>
        <v>34.110999999999997</v>
      </c>
      <c r="R90" s="3">
        <f t="shared" si="9"/>
        <v>30.846</v>
      </c>
      <c r="S90" s="3">
        <f t="shared" si="10"/>
        <v>3.264999999999997</v>
      </c>
      <c r="T90" s="3" cm="1">
        <f t="array" ref="T90">MAX((TRANSPOSE(I90:O90)-I90:O90)/I90:O90)</f>
        <v>0.10584840822148729</v>
      </c>
      <c r="U90" s="3" cm="1">
        <f t="array" ref="U90">MAX((J90:O90-I90:N90)/I90:N90)</f>
        <v>0.10584840822148729</v>
      </c>
      <c r="V90" s="3" cm="1">
        <f t="array" ref="V90">MIN((TRANSPOSE(I90:O90)-I90:O90)/I90:O90)</f>
        <v>-9.5716924159362005E-2</v>
      </c>
      <c r="W90" s="3" cm="1">
        <f t="array" ref="W90">MIN((J90:O90-I90:N90)/I90:N90)</f>
        <v>-6.584386268359177E-2</v>
      </c>
      <c r="X90" s="3">
        <v>1.1058484082214872</v>
      </c>
      <c r="Y90" s="3">
        <v>1.0330350774816832</v>
      </c>
      <c r="Z90" s="3">
        <v>1.0803021461453672</v>
      </c>
      <c r="AA90" s="3">
        <v>1.0793944109446931</v>
      </c>
      <c r="AB90" s="3">
        <v>1.0702198015950204</v>
      </c>
      <c r="AC90" s="3">
        <f t="shared" si="6"/>
        <v>1.0441224145756338</v>
      </c>
    </row>
    <row r="91" spans="1:29" x14ac:dyDescent="0.3">
      <c r="A91">
        <v>2</v>
      </c>
      <c r="B91" t="s">
        <v>25</v>
      </c>
      <c r="C91" t="s">
        <v>266</v>
      </c>
      <c r="D91">
        <v>89</v>
      </c>
      <c r="E91" t="s">
        <v>267</v>
      </c>
      <c r="F91" t="s">
        <v>268</v>
      </c>
      <c r="G91" t="s">
        <v>519</v>
      </c>
      <c r="H91" s="4">
        <v>3.5</v>
      </c>
      <c r="I91" s="5">
        <v>4.335</v>
      </c>
      <c r="J91" s="6">
        <v>4.7</v>
      </c>
      <c r="K91" s="7">
        <v>3.4390000000000001</v>
      </c>
      <c r="L91" s="6">
        <v>3.6520000000000001</v>
      </c>
      <c r="M91" s="7">
        <v>3.024</v>
      </c>
      <c r="N91" s="6">
        <v>3.5409999999999999</v>
      </c>
      <c r="O91" s="7">
        <v>3.355</v>
      </c>
      <c r="P91" s="3">
        <f t="shared" si="7"/>
        <v>3.7208571428571431</v>
      </c>
      <c r="Q91" s="3">
        <f t="shared" si="8"/>
        <v>4.7</v>
      </c>
      <c r="R91" s="3">
        <f t="shared" si="9"/>
        <v>3.024</v>
      </c>
      <c r="S91" s="3">
        <f t="shared" si="10"/>
        <v>1.6760000000000002</v>
      </c>
      <c r="T91" s="3" cm="1">
        <f t="array" ref="T91">MAX((TRANSPOSE(I91:O91)-I91:O91)/I91:O91)</f>
        <v>0.5542328042328043</v>
      </c>
      <c r="U91" s="3" cm="1">
        <f t="array" ref="U91">MAX((J91:O91-I91:N91)/I91:N91)</f>
        <v>0.17096560846560843</v>
      </c>
      <c r="V91" s="3" cm="1">
        <f t="array" ref="V91">MIN((TRANSPOSE(I91:O91)-I91:O91)/I91:O91)</f>
        <v>-0.35659574468085109</v>
      </c>
      <c r="W91" s="3" cm="1">
        <f t="array" ref="W91">MIN((J91:O91-I91:N91)/I91:N91)</f>
        <v>-0.26829787234042557</v>
      </c>
      <c r="X91" s="3">
        <v>1.0841983852364476</v>
      </c>
      <c r="Y91" s="3">
        <v>0.79331026528258364</v>
      </c>
      <c r="Z91" s="3">
        <v>0.84244521337946943</v>
      </c>
      <c r="AA91" s="3">
        <v>0.69757785467128031</v>
      </c>
      <c r="AB91" s="3">
        <v>0.81683967704728955</v>
      </c>
      <c r="AC91" s="3">
        <f t="shared" si="6"/>
        <v>0.77393310265282589</v>
      </c>
    </row>
    <row r="92" spans="1:29" x14ac:dyDescent="0.3">
      <c r="A92">
        <v>3</v>
      </c>
      <c r="B92" t="s">
        <v>21</v>
      </c>
      <c r="C92" t="s">
        <v>269</v>
      </c>
      <c r="D92">
        <v>48</v>
      </c>
      <c r="E92" t="s">
        <v>70</v>
      </c>
      <c r="F92" t="s">
        <v>270</v>
      </c>
      <c r="G92" t="s">
        <v>519</v>
      </c>
      <c r="H92" s="4">
        <v>7.3</v>
      </c>
      <c r="I92" s="5">
        <v>4.0309999999999997</v>
      </c>
      <c r="J92" s="6">
        <v>6.2729999999999997</v>
      </c>
      <c r="K92" s="7">
        <v>6.867</v>
      </c>
      <c r="L92" s="6">
        <v>8.0660000000000007</v>
      </c>
      <c r="M92" s="7">
        <v>7.5549999999999997</v>
      </c>
      <c r="N92" s="6">
        <v>5.6710000000000003</v>
      </c>
      <c r="O92" s="7">
        <v>6.2930000000000001</v>
      </c>
      <c r="P92" s="3">
        <f t="shared" si="7"/>
        <v>6.3937142857142861</v>
      </c>
      <c r="Q92" s="3">
        <f t="shared" si="8"/>
        <v>8.0660000000000007</v>
      </c>
      <c r="R92" s="3">
        <f t="shared" si="9"/>
        <v>4.0309999999999997</v>
      </c>
      <c r="S92" s="3">
        <f t="shared" si="10"/>
        <v>4.035000000000001</v>
      </c>
      <c r="T92" s="3" cm="1">
        <f t="array" ref="T92">MAX((TRANSPOSE(I92:O92)-I92:O92)/I92:O92)</f>
        <v>1.0009923096005957</v>
      </c>
      <c r="U92" s="3" cm="1">
        <f t="array" ref="U92">MAX((J92:O92-I92:N92)/I92:N92)</f>
        <v>0.55618953113371372</v>
      </c>
      <c r="V92" s="3" cm="1">
        <f t="array" ref="V92">MIN((TRANSPOSE(I92:O92)-I92:O92)/I92:O92)</f>
        <v>-0.5002479543763948</v>
      </c>
      <c r="W92" s="3" cm="1">
        <f t="array" ref="W92">MIN((J92:O92-I92:N92)/I92:N92)</f>
        <v>-0.24937127729980138</v>
      </c>
      <c r="X92" s="3">
        <v>1.5561895311337137</v>
      </c>
      <c r="Y92" s="3">
        <v>1.7035475068221286</v>
      </c>
      <c r="Z92" s="3">
        <v>2.0009923096005959</v>
      </c>
      <c r="AA92" s="3">
        <v>1.8742247581245348</v>
      </c>
      <c r="AB92" s="3">
        <v>1.4068469362441083</v>
      </c>
      <c r="AC92" s="3">
        <f t="shared" si="6"/>
        <v>1.5611510791366907</v>
      </c>
    </row>
    <row r="93" spans="1:29" x14ac:dyDescent="0.3">
      <c r="A93">
        <v>2</v>
      </c>
      <c r="B93" t="s">
        <v>25</v>
      </c>
      <c r="C93" t="s">
        <v>271</v>
      </c>
      <c r="D93">
        <v>47</v>
      </c>
      <c r="E93" t="s">
        <v>139</v>
      </c>
      <c r="F93" t="s">
        <v>272</v>
      </c>
      <c r="G93" t="s">
        <v>519</v>
      </c>
      <c r="H93" s="4">
        <v>12.2</v>
      </c>
      <c r="I93" s="5">
        <v>9.5</v>
      </c>
      <c r="J93" s="6">
        <v>12.34</v>
      </c>
      <c r="K93" s="7">
        <v>11.324</v>
      </c>
      <c r="L93" s="6">
        <v>12.064</v>
      </c>
      <c r="M93" s="7">
        <v>13.026999999999999</v>
      </c>
      <c r="N93" s="6">
        <v>12.624000000000001</v>
      </c>
      <c r="O93" s="7">
        <v>11.571</v>
      </c>
      <c r="P93" s="3">
        <f t="shared" si="7"/>
        <v>11.778571428571428</v>
      </c>
      <c r="Q93" s="3">
        <f t="shared" si="8"/>
        <v>13.026999999999999</v>
      </c>
      <c r="R93" s="3">
        <f t="shared" si="9"/>
        <v>9.5</v>
      </c>
      <c r="S93" s="3">
        <f t="shared" si="10"/>
        <v>3.5269999999999992</v>
      </c>
      <c r="T93" s="3" cm="1">
        <f t="array" ref="T93">MAX((TRANSPOSE(I93:O93)-I93:O93)/I93:O93)</f>
        <v>0.37126315789473674</v>
      </c>
      <c r="U93" s="3" cm="1">
        <f t="array" ref="U93">MAX((J93:O93-I93:N93)/I93:N93)</f>
        <v>0.29894736842105263</v>
      </c>
      <c r="V93" s="3" cm="1">
        <f t="array" ref="V93">MIN((TRANSPOSE(I93:O93)-I93:O93)/I93:O93)</f>
        <v>-0.27074537499040452</v>
      </c>
      <c r="W93" s="3" cm="1">
        <f t="array" ref="W93">MIN((J93:O93-I93:N93)/I93:N93)</f>
        <v>-8.3412547528517178E-2</v>
      </c>
      <c r="X93" s="3">
        <v>1.2989473684210526</v>
      </c>
      <c r="Y93" s="3">
        <v>1.1919999999999999</v>
      </c>
      <c r="Z93" s="3">
        <v>1.2698947368421052</v>
      </c>
      <c r="AA93" s="3">
        <v>1.3712631578947367</v>
      </c>
      <c r="AB93" s="3">
        <v>1.328842105263158</v>
      </c>
      <c r="AC93" s="3">
        <f t="shared" si="6"/>
        <v>1.218</v>
      </c>
    </row>
    <row r="94" spans="1:29" x14ac:dyDescent="0.3">
      <c r="A94">
        <v>3</v>
      </c>
      <c r="B94" t="s">
        <v>21</v>
      </c>
      <c r="C94" t="s">
        <v>273</v>
      </c>
      <c r="D94">
        <v>49</v>
      </c>
      <c r="E94" t="s">
        <v>133</v>
      </c>
      <c r="F94" t="s">
        <v>274</v>
      </c>
      <c r="G94" t="s">
        <v>519</v>
      </c>
      <c r="H94" s="4">
        <v>8.6999999999999993</v>
      </c>
      <c r="I94" s="5">
        <v>3.4830000000000001</v>
      </c>
      <c r="J94" s="6">
        <v>4.7</v>
      </c>
      <c r="K94" s="7">
        <v>5.8760000000000003</v>
      </c>
      <c r="L94" s="6">
        <v>7.2249999999999996</v>
      </c>
      <c r="M94" s="7">
        <v>7.7930000000000001</v>
      </c>
      <c r="N94" s="6">
        <v>7.5119999999999996</v>
      </c>
      <c r="O94" s="7">
        <v>8.4770000000000003</v>
      </c>
      <c r="P94" s="3">
        <f t="shared" si="7"/>
        <v>6.4380000000000006</v>
      </c>
      <c r="Q94" s="3">
        <f t="shared" si="8"/>
        <v>8.4770000000000003</v>
      </c>
      <c r="R94" s="3">
        <f t="shared" si="9"/>
        <v>3.4830000000000001</v>
      </c>
      <c r="S94" s="3">
        <f t="shared" si="10"/>
        <v>4.9939999999999998</v>
      </c>
      <c r="T94" s="3" cm="1">
        <f t="array" ref="T94">MAX((TRANSPOSE(I94:O94)-I94:O94)/I94:O94)</f>
        <v>1.4338214183175422</v>
      </c>
      <c r="U94" s="3" cm="1">
        <f t="array" ref="U94">MAX((J94:O94-I94:N94)/I94:N94)</f>
        <v>0.34941142693080679</v>
      </c>
      <c r="V94" s="3" cm="1">
        <f t="array" ref="V94">MIN((TRANSPOSE(I94:O94)-I94:O94)/I94:O94)</f>
        <v>-0.58912351067594659</v>
      </c>
      <c r="W94" s="3" cm="1">
        <f t="array" ref="W94">MIN((J94:O94-I94:N94)/I94:N94)</f>
        <v>-3.60580007699218E-2</v>
      </c>
      <c r="X94" s="3">
        <v>1.3494114269308068</v>
      </c>
      <c r="Y94" s="3">
        <v>1.687051392477749</v>
      </c>
      <c r="Z94" s="3">
        <v>2.0743611828883144</v>
      </c>
      <c r="AA94" s="3">
        <v>2.2374389893769737</v>
      </c>
      <c r="AB94" s="3">
        <v>2.1567614125753658</v>
      </c>
      <c r="AC94" s="3">
        <f t="shared" si="6"/>
        <v>2.4338214183175424</v>
      </c>
    </row>
    <row r="95" spans="1:29" x14ac:dyDescent="0.3">
      <c r="A95">
        <v>2</v>
      </c>
      <c r="B95" t="s">
        <v>25</v>
      </c>
      <c r="C95" t="s">
        <v>275</v>
      </c>
      <c r="D95">
        <v>95</v>
      </c>
      <c r="E95" t="s">
        <v>276</v>
      </c>
      <c r="F95" t="s">
        <v>277</v>
      </c>
      <c r="G95" t="s">
        <v>519</v>
      </c>
      <c r="H95" s="4">
        <v>6.3</v>
      </c>
      <c r="I95" s="5">
        <v>9.9</v>
      </c>
      <c r="J95" s="6">
        <v>9.1940000000000008</v>
      </c>
      <c r="K95" s="7">
        <v>8.1050000000000004</v>
      </c>
      <c r="L95" s="6">
        <v>7.6459999999999999</v>
      </c>
      <c r="M95" s="7">
        <v>5.89</v>
      </c>
      <c r="N95" s="6">
        <v>6.694</v>
      </c>
      <c r="O95" s="7">
        <v>5.383</v>
      </c>
      <c r="P95" s="3">
        <f t="shared" si="7"/>
        <v>7.5445714285714294</v>
      </c>
      <c r="Q95" s="3">
        <f t="shared" si="8"/>
        <v>9.9</v>
      </c>
      <c r="R95" s="3">
        <f t="shared" si="9"/>
        <v>5.383</v>
      </c>
      <c r="S95" s="3">
        <f t="shared" si="10"/>
        <v>4.5170000000000003</v>
      </c>
      <c r="T95" s="3" cm="1">
        <f t="array" ref="T95">MAX((TRANSPOSE(I95:O95)-I95:O95)/I95:O95)</f>
        <v>0.83912316552108501</v>
      </c>
      <c r="U95" s="3" cm="1">
        <f t="array" ref="U95">MAX((J95:O95-I95:N95)/I95:N95)</f>
        <v>0.13650254668930395</v>
      </c>
      <c r="V95" s="3" cm="1">
        <f t="array" ref="V95">MIN((TRANSPOSE(I95:O95)-I95:O95)/I95:O95)</f>
        <v>-0.45626262626262626</v>
      </c>
      <c r="W95" s="3" cm="1">
        <f t="array" ref="W95">MIN((J95:O95-I95:N95)/I95:N95)</f>
        <v>-0.22966256866335341</v>
      </c>
      <c r="X95" s="3">
        <v>0.92868686868686878</v>
      </c>
      <c r="Y95" s="3">
        <v>0.81868686868686869</v>
      </c>
      <c r="Z95" s="3">
        <v>0.7723232323232323</v>
      </c>
      <c r="AA95" s="3">
        <v>0.59494949494949489</v>
      </c>
      <c r="AB95" s="3">
        <v>0.67616161616161619</v>
      </c>
      <c r="AC95" s="3">
        <f t="shared" si="6"/>
        <v>0.54373737373737374</v>
      </c>
    </row>
    <row r="96" spans="1:29" x14ac:dyDescent="0.3">
      <c r="A96">
        <v>2</v>
      </c>
      <c r="B96" t="s">
        <v>25</v>
      </c>
      <c r="C96" t="s">
        <v>278</v>
      </c>
      <c r="D96">
        <v>84</v>
      </c>
      <c r="E96" t="s">
        <v>279</v>
      </c>
      <c r="F96" t="s">
        <v>280</v>
      </c>
      <c r="G96" t="s">
        <v>519</v>
      </c>
      <c r="H96" s="4">
        <v>9.6999999999999993</v>
      </c>
      <c r="I96" s="5">
        <v>7.9</v>
      </c>
      <c r="J96" s="6">
        <v>10.093</v>
      </c>
      <c r="K96" s="7">
        <v>9.59</v>
      </c>
      <c r="L96" s="6">
        <v>10.590999999999999</v>
      </c>
      <c r="M96" s="7">
        <v>10.885999999999999</v>
      </c>
      <c r="N96" s="6">
        <v>10.375</v>
      </c>
      <c r="O96" s="7">
        <v>9.0229999999999997</v>
      </c>
      <c r="P96" s="3">
        <f t="shared" si="7"/>
        <v>9.7797142857142862</v>
      </c>
      <c r="Q96" s="3">
        <f t="shared" si="8"/>
        <v>10.885999999999999</v>
      </c>
      <c r="R96" s="3">
        <f t="shared" si="9"/>
        <v>7.9</v>
      </c>
      <c r="S96" s="3">
        <f t="shared" si="10"/>
        <v>2.9859999999999989</v>
      </c>
      <c r="T96" s="3" cm="1">
        <f t="array" ref="T96">MAX((TRANSPOSE(I96:O96)-I96:O96)/I96:O96)</f>
        <v>0.37797468354430364</v>
      </c>
      <c r="U96" s="3" cm="1">
        <f t="array" ref="U96">MAX((J96:O96-I96:N96)/I96:N96)</f>
        <v>0.27759493670886071</v>
      </c>
      <c r="V96" s="3" cm="1">
        <f t="array" ref="V96">MIN((TRANSPOSE(I96:O96)-I96:O96)/I96:O96)</f>
        <v>-0.27429726253904091</v>
      </c>
      <c r="W96" s="3" cm="1">
        <f t="array" ref="W96">MIN((J96:O96-I96:N96)/I96:N96)</f>
        <v>-0.13031325301204821</v>
      </c>
      <c r="X96" s="3">
        <v>1.2775949367088606</v>
      </c>
      <c r="Y96" s="3">
        <v>1.2139240506329114</v>
      </c>
      <c r="Z96" s="3">
        <v>1.3406329113924049</v>
      </c>
      <c r="AA96" s="3">
        <v>1.3779746835443036</v>
      </c>
      <c r="AB96" s="3">
        <v>1.3132911392405062</v>
      </c>
      <c r="AC96" s="3">
        <f t="shared" si="6"/>
        <v>1.1421518987341772</v>
      </c>
    </row>
    <row r="97" spans="1:29" x14ac:dyDescent="0.3">
      <c r="A97">
        <v>2</v>
      </c>
      <c r="B97" t="s">
        <v>25</v>
      </c>
      <c r="C97" t="s">
        <v>281</v>
      </c>
      <c r="D97">
        <v>33</v>
      </c>
      <c r="E97" t="s">
        <v>61</v>
      </c>
      <c r="F97" t="s">
        <v>282</v>
      </c>
      <c r="G97" t="s">
        <v>519</v>
      </c>
      <c r="H97" s="4">
        <v>14.8</v>
      </c>
      <c r="I97" s="5">
        <v>25.72</v>
      </c>
      <c r="J97" s="6">
        <v>21.721</v>
      </c>
      <c r="K97" s="7">
        <v>21.588000000000001</v>
      </c>
      <c r="L97" s="6">
        <v>17.369</v>
      </c>
      <c r="M97" s="7">
        <v>17.14</v>
      </c>
      <c r="N97" s="6">
        <v>14.904999999999999</v>
      </c>
      <c r="O97" s="7">
        <v>13.391</v>
      </c>
      <c r="P97" s="3">
        <f t="shared" si="7"/>
        <v>18.833428571428573</v>
      </c>
      <c r="Q97" s="3">
        <f t="shared" si="8"/>
        <v>25.72</v>
      </c>
      <c r="R97" s="3">
        <f t="shared" si="9"/>
        <v>13.391</v>
      </c>
      <c r="S97" s="3">
        <f t="shared" si="10"/>
        <v>12.328999999999999</v>
      </c>
      <c r="T97" s="3" cm="1">
        <f t="array" ref="T97">MAX((TRANSPOSE(I97:O97)-I97:O97)/I97:O97)</f>
        <v>0.92069300276304977</v>
      </c>
      <c r="U97" s="3" cm="1">
        <f t="array" ref="U97">MAX((J97:O97-I97:N97)/I97:N97)</f>
        <v>-6.1231066709635431E-3</v>
      </c>
      <c r="V97" s="3" cm="1">
        <f t="array" ref="V97">MIN((TRANSPOSE(I97:O97)-I97:O97)/I97:O97)</f>
        <v>-0.47935458786936236</v>
      </c>
      <c r="W97" s="3" cm="1">
        <f t="array" ref="W97">MIN((J97:O97-I97:N97)/I97:N97)</f>
        <v>-0.19543264776727817</v>
      </c>
      <c r="X97" s="3">
        <v>0.84451788491446345</v>
      </c>
      <c r="Y97" s="3">
        <v>0.8393468118195957</v>
      </c>
      <c r="Z97" s="3">
        <v>0.67531104199066871</v>
      </c>
      <c r="AA97" s="3">
        <v>0.66640746500777615</v>
      </c>
      <c r="AB97" s="3">
        <v>0.57951010886469678</v>
      </c>
      <c r="AC97" s="3">
        <f t="shared" si="6"/>
        <v>0.52064541213063764</v>
      </c>
    </row>
    <row r="98" spans="1:29" x14ac:dyDescent="0.3">
      <c r="A98">
        <v>2</v>
      </c>
      <c r="B98" t="s">
        <v>25</v>
      </c>
      <c r="C98" t="s">
        <v>283</v>
      </c>
      <c r="D98">
        <v>46</v>
      </c>
      <c r="E98" t="s">
        <v>185</v>
      </c>
      <c r="F98" t="s">
        <v>284</v>
      </c>
      <c r="G98" t="s">
        <v>519</v>
      </c>
      <c r="H98" s="4">
        <v>40.6</v>
      </c>
      <c r="I98" s="5">
        <v>43.363999999999997</v>
      </c>
      <c r="J98" s="6">
        <v>43.216000000000001</v>
      </c>
      <c r="K98" s="7">
        <v>43.204999999999998</v>
      </c>
      <c r="L98" s="6">
        <v>44.811</v>
      </c>
      <c r="M98" s="7">
        <v>41.468000000000004</v>
      </c>
      <c r="N98" s="6">
        <v>39.591999999999999</v>
      </c>
      <c r="O98" s="7">
        <v>36.100999999999999</v>
      </c>
      <c r="P98" s="3">
        <f t="shared" si="7"/>
        <v>41.679571428571428</v>
      </c>
      <c r="Q98" s="3">
        <f t="shared" si="8"/>
        <v>44.811</v>
      </c>
      <c r="R98" s="3">
        <f t="shared" si="9"/>
        <v>36.100999999999999</v>
      </c>
      <c r="S98" s="3">
        <f t="shared" si="10"/>
        <v>8.7100000000000009</v>
      </c>
      <c r="T98" s="3" cm="1">
        <f t="array" ref="T98">MAX((TRANSPOSE(I98:O98)-I98:O98)/I98:O98)</f>
        <v>0.24126755491537633</v>
      </c>
      <c r="U98" s="3" cm="1">
        <f t="array" ref="U98">MAX((J98:O98-I98:N98)/I98:N98)</f>
        <v>3.7171623654669639E-2</v>
      </c>
      <c r="V98" s="3" cm="1">
        <f t="array" ref="V98">MIN((TRANSPOSE(I98:O98)-I98:O98)/I98:O98)</f>
        <v>-0.19437191760951553</v>
      </c>
      <c r="W98" s="3" cm="1">
        <f t="array" ref="W98">MIN((J98:O98-I98:N98)/I98:N98)</f>
        <v>-8.8174378662356029E-2</v>
      </c>
      <c r="X98" s="3">
        <v>0.99658703071672361</v>
      </c>
      <c r="Y98" s="3">
        <v>0.99633336408080442</v>
      </c>
      <c r="Z98" s="3">
        <v>1.033368692925007</v>
      </c>
      <c r="AA98" s="3">
        <v>0.95627709620883694</v>
      </c>
      <c r="AB98" s="3">
        <v>0.91301540448298135</v>
      </c>
      <c r="AC98" s="3">
        <f t="shared" ref="AC98:AC129" si="11">O98/I98</f>
        <v>0.8325108384835348</v>
      </c>
    </row>
    <row r="99" spans="1:29" x14ac:dyDescent="0.3">
      <c r="A99">
        <v>2</v>
      </c>
      <c r="B99" t="s">
        <v>25</v>
      </c>
      <c r="C99" t="s">
        <v>285</v>
      </c>
      <c r="D99">
        <v>2</v>
      </c>
      <c r="E99" t="s">
        <v>286</v>
      </c>
      <c r="F99" t="s">
        <v>287</v>
      </c>
      <c r="G99" t="s">
        <v>519</v>
      </c>
      <c r="H99" s="4">
        <v>10.8</v>
      </c>
      <c r="I99" s="5">
        <v>17.148</v>
      </c>
      <c r="J99" s="6">
        <v>14.98</v>
      </c>
      <c r="K99" s="7">
        <v>15.819000000000001</v>
      </c>
      <c r="L99" s="6">
        <v>11.853999999999999</v>
      </c>
      <c r="M99" s="7">
        <v>11.599</v>
      </c>
      <c r="N99" s="6">
        <v>9.7609999999999992</v>
      </c>
      <c r="O99" s="7">
        <v>10.297000000000001</v>
      </c>
      <c r="P99" s="3">
        <f t="shared" si="7"/>
        <v>13.065428571428571</v>
      </c>
      <c r="Q99" s="3">
        <f t="shared" si="8"/>
        <v>17.148</v>
      </c>
      <c r="R99" s="3">
        <f t="shared" si="9"/>
        <v>9.7609999999999992</v>
      </c>
      <c r="S99" s="3">
        <f t="shared" si="10"/>
        <v>7.3870000000000005</v>
      </c>
      <c r="T99" s="3" cm="1">
        <f t="array" ref="T99">MAX((TRANSPOSE(I99:O99)-I99:O99)/I99:O99)</f>
        <v>0.75678721442475172</v>
      </c>
      <c r="U99" s="3" cm="1">
        <f t="array" ref="U99">MAX((J99:O99-I99:N99)/I99:N99)</f>
        <v>5.6008010680907903E-2</v>
      </c>
      <c r="V99" s="3" cm="1">
        <f t="array" ref="V99">MIN((TRANSPOSE(I99:O99)-I99:O99)/I99:O99)</f>
        <v>-0.43077909960345234</v>
      </c>
      <c r="W99" s="3" cm="1">
        <f t="array" ref="W99">MIN((J99:O99-I99:N99)/I99:N99)</f>
        <v>-0.25064795499083392</v>
      </c>
      <c r="X99" s="3">
        <v>0.87357126195474699</v>
      </c>
      <c r="Y99" s="3">
        <v>0.92249825052484258</v>
      </c>
      <c r="Z99" s="3">
        <v>0.69127595054816882</v>
      </c>
      <c r="AA99" s="3">
        <v>0.67640541170982038</v>
      </c>
      <c r="AB99" s="3">
        <v>0.56922090039654771</v>
      </c>
      <c r="AC99" s="3">
        <f t="shared" si="11"/>
        <v>0.60047818987637047</v>
      </c>
    </row>
    <row r="100" spans="1:29" x14ac:dyDescent="0.3">
      <c r="A100">
        <v>2</v>
      </c>
      <c r="B100" t="s">
        <v>25</v>
      </c>
      <c r="C100" t="s">
        <v>288</v>
      </c>
      <c r="D100">
        <v>13</v>
      </c>
      <c r="E100" t="s">
        <v>289</v>
      </c>
      <c r="F100" t="s">
        <v>290</v>
      </c>
      <c r="G100" t="s">
        <v>519</v>
      </c>
      <c r="H100" s="4">
        <v>3.1</v>
      </c>
      <c r="I100" s="5">
        <v>2.3879999999999999</v>
      </c>
      <c r="J100" s="6">
        <v>2.698</v>
      </c>
      <c r="K100" s="7">
        <v>2.194</v>
      </c>
      <c r="L100" s="6">
        <v>2.8</v>
      </c>
      <c r="M100" s="7">
        <v>2.8439999999999999</v>
      </c>
      <c r="N100" s="6">
        <v>3.0960000000000001</v>
      </c>
      <c r="O100" s="7">
        <v>3.089</v>
      </c>
      <c r="P100" s="3">
        <f t="shared" si="7"/>
        <v>2.7298571428571425</v>
      </c>
      <c r="Q100" s="3">
        <f t="shared" si="8"/>
        <v>3.0960000000000001</v>
      </c>
      <c r="R100" s="3">
        <f t="shared" si="9"/>
        <v>2.194</v>
      </c>
      <c r="S100" s="3">
        <f t="shared" si="10"/>
        <v>0.90200000000000014</v>
      </c>
      <c r="T100" s="3" cm="1">
        <f t="array" ref="T100">MAX((TRANSPOSE(I100:O100)-I100:O100)/I100:O100)</f>
        <v>0.4111212397447585</v>
      </c>
      <c r="U100" s="3" cm="1">
        <f t="array" ref="U100">MAX((J100:O100-I100:N100)/I100:N100)</f>
        <v>0.27620783956244299</v>
      </c>
      <c r="V100" s="3" cm="1">
        <f t="array" ref="V100">MIN((TRANSPOSE(I100:O100)-I100:O100)/I100:O100)</f>
        <v>-0.29134366925064603</v>
      </c>
      <c r="W100" s="3" cm="1">
        <f t="array" ref="W100">MIN((J100:O100-I100:N100)/I100:N100)</f>
        <v>-0.18680504077094146</v>
      </c>
      <c r="X100" s="3">
        <v>1.1298157453936348</v>
      </c>
      <c r="Y100" s="3">
        <v>0.91876046901172526</v>
      </c>
      <c r="Z100" s="3">
        <v>1.1725293132328307</v>
      </c>
      <c r="AA100" s="3">
        <v>1.1909547738693467</v>
      </c>
      <c r="AB100" s="3">
        <v>1.2964824120603016</v>
      </c>
      <c r="AC100" s="3">
        <f t="shared" si="11"/>
        <v>1.2935510887772195</v>
      </c>
    </row>
    <row r="101" spans="1:29" x14ac:dyDescent="0.3">
      <c r="A101">
        <v>1</v>
      </c>
      <c r="B101" t="s">
        <v>35</v>
      </c>
      <c r="C101" t="s">
        <v>291</v>
      </c>
      <c r="D101">
        <v>29</v>
      </c>
      <c r="E101" t="s">
        <v>121</v>
      </c>
      <c r="F101" t="s">
        <v>292</v>
      </c>
      <c r="G101" t="s">
        <v>519</v>
      </c>
      <c r="H101" s="4">
        <v>11.2</v>
      </c>
      <c r="I101" s="5">
        <v>5.5</v>
      </c>
      <c r="J101" s="6">
        <v>9.1940000000000008</v>
      </c>
      <c r="K101" s="7">
        <v>10.581</v>
      </c>
      <c r="L101" s="6">
        <v>10.590999999999999</v>
      </c>
      <c r="M101" s="7">
        <v>9.6959999999999997</v>
      </c>
      <c r="N101" s="6">
        <v>11.193</v>
      </c>
      <c r="O101" s="7">
        <v>12.298999999999999</v>
      </c>
      <c r="P101" s="3">
        <f t="shared" si="7"/>
        <v>9.8648571428571437</v>
      </c>
      <c r="Q101" s="3">
        <f t="shared" si="8"/>
        <v>12.298999999999999</v>
      </c>
      <c r="R101" s="3">
        <f t="shared" si="9"/>
        <v>5.5</v>
      </c>
      <c r="S101" s="3">
        <f t="shared" si="10"/>
        <v>6.7989999999999995</v>
      </c>
      <c r="T101" s="3" cm="1">
        <f t="array" ref="T101">MAX((TRANSPOSE(I101:O101)-I101:O101)/I101:O101)</f>
        <v>1.236181818181818</v>
      </c>
      <c r="U101" s="3" cm="1">
        <f t="array" ref="U101">MAX((J101:O101-I101:N101)/I101:N101)</f>
        <v>0.67163636363636381</v>
      </c>
      <c r="V101" s="3" cm="1">
        <f t="array" ref="V101">MIN((TRANSPOSE(I101:O101)-I101:O101)/I101:O101)</f>
        <v>-0.55280917147735587</v>
      </c>
      <c r="W101" s="3" cm="1">
        <f t="array" ref="W101">MIN((J101:O101-I101:N101)/I101:N101)</f>
        <v>-8.4505712397318439E-2</v>
      </c>
      <c r="X101" s="3">
        <v>1.6716363636363638</v>
      </c>
      <c r="Y101" s="3">
        <v>1.9238181818181816</v>
      </c>
      <c r="Z101" s="3">
        <v>1.9256363636363636</v>
      </c>
      <c r="AA101" s="3">
        <v>1.7629090909090908</v>
      </c>
      <c r="AB101" s="3">
        <v>2.0350909090909091</v>
      </c>
      <c r="AC101" s="3">
        <f t="shared" si="11"/>
        <v>2.236181818181818</v>
      </c>
    </row>
    <row r="102" spans="1:29" x14ac:dyDescent="0.3">
      <c r="A102">
        <v>2</v>
      </c>
      <c r="B102" t="s">
        <v>25</v>
      </c>
      <c r="C102" t="s">
        <v>293</v>
      </c>
      <c r="D102">
        <v>20</v>
      </c>
      <c r="E102" t="s">
        <v>294</v>
      </c>
      <c r="F102" t="s">
        <v>295</v>
      </c>
      <c r="G102" t="s">
        <v>519</v>
      </c>
      <c r="H102" s="4">
        <v>3.2</v>
      </c>
      <c r="I102" s="5">
        <v>2.9359999999999999</v>
      </c>
      <c r="J102" s="6">
        <v>3.4129999999999998</v>
      </c>
      <c r="K102" s="7">
        <v>3.19</v>
      </c>
      <c r="L102" s="6">
        <v>2.931</v>
      </c>
      <c r="M102" s="7">
        <v>3.1429999999999998</v>
      </c>
      <c r="N102" s="6">
        <v>2.4609999999999999</v>
      </c>
      <c r="O102" s="7">
        <v>3.222</v>
      </c>
      <c r="P102" s="3">
        <f t="shared" si="7"/>
        <v>3.0422857142857143</v>
      </c>
      <c r="Q102" s="3">
        <f t="shared" si="8"/>
        <v>3.4129999999999998</v>
      </c>
      <c r="R102" s="3">
        <f t="shared" si="9"/>
        <v>2.4609999999999999</v>
      </c>
      <c r="S102" s="3">
        <f t="shared" si="10"/>
        <v>0.95199999999999996</v>
      </c>
      <c r="T102" s="3" cm="1">
        <f t="array" ref="T102">MAX((TRANSPOSE(I102:O102)-I102:O102)/I102:O102)</f>
        <v>0.38683462007314101</v>
      </c>
      <c r="U102" s="3" cm="1">
        <f t="array" ref="U102">MAX((J102:O102-I102:N102)/I102:N102)</f>
        <v>0.309223892726534</v>
      </c>
      <c r="V102" s="3" cm="1">
        <f t="array" ref="V102">MIN((TRANSPOSE(I102:O102)-I102:O102)/I102:O102)</f>
        <v>-0.2789334895985936</v>
      </c>
      <c r="W102" s="3" cm="1">
        <f t="array" ref="W102">MIN((J102:O102-I102:N102)/I102:N102)</f>
        <v>-0.21699013681196308</v>
      </c>
      <c r="X102" s="3">
        <v>1.1624659400544959</v>
      </c>
      <c r="Y102" s="3">
        <v>1.0865122615803815</v>
      </c>
      <c r="Z102" s="3">
        <v>0.99829700272479571</v>
      </c>
      <c r="AA102" s="3">
        <v>1.0705040871934604</v>
      </c>
      <c r="AB102" s="3">
        <v>0.83821525885558579</v>
      </c>
      <c r="AC102" s="3">
        <f t="shared" si="11"/>
        <v>1.0974114441416893</v>
      </c>
    </row>
    <row r="103" spans="1:29" x14ac:dyDescent="0.3">
      <c r="A103">
        <v>2</v>
      </c>
      <c r="B103" t="s">
        <v>25</v>
      </c>
      <c r="C103" t="s">
        <v>296</v>
      </c>
      <c r="D103">
        <v>14</v>
      </c>
      <c r="E103" t="s">
        <v>297</v>
      </c>
      <c r="F103" t="s">
        <v>298</v>
      </c>
      <c r="G103" t="s">
        <v>519</v>
      </c>
      <c r="H103" s="4">
        <v>3.3</v>
      </c>
      <c r="I103" s="5">
        <v>2.5710000000000002</v>
      </c>
      <c r="J103" s="6">
        <v>3.27</v>
      </c>
      <c r="K103" s="7">
        <v>2.8170000000000002</v>
      </c>
      <c r="L103" s="6">
        <v>2.9969999999999999</v>
      </c>
      <c r="M103" s="7">
        <v>2.9039999999999999</v>
      </c>
      <c r="N103" s="6">
        <v>3.16</v>
      </c>
      <c r="O103" s="7">
        <v>3.222</v>
      </c>
      <c r="P103" s="3">
        <f t="shared" si="7"/>
        <v>2.991571428571429</v>
      </c>
      <c r="Q103" s="3">
        <f t="shared" si="8"/>
        <v>3.27</v>
      </c>
      <c r="R103" s="3">
        <f t="shared" si="9"/>
        <v>2.5710000000000002</v>
      </c>
      <c r="S103" s="3">
        <f t="shared" si="10"/>
        <v>0.69899999999999984</v>
      </c>
      <c r="T103" s="3" cm="1">
        <f t="array" ref="T103">MAX((TRANSPOSE(I103:O103)-I103:O103)/I103:O103)</f>
        <v>0.27187864644107346</v>
      </c>
      <c r="U103" s="3" cm="1">
        <f t="array" ref="U103">MAX((J103:O103-I103:N103)/I103:N103)</f>
        <v>0.27187864644107346</v>
      </c>
      <c r="V103" s="3" cm="1">
        <f t="array" ref="V103">MIN((TRANSPOSE(I103:O103)-I103:O103)/I103:O103)</f>
        <v>-0.21376146788990821</v>
      </c>
      <c r="W103" s="3" cm="1">
        <f t="array" ref="W103">MIN((J103:O103-I103:N103)/I103:N103)</f>
        <v>-0.13853211009174307</v>
      </c>
      <c r="X103" s="3">
        <v>1.2718786464410734</v>
      </c>
      <c r="Y103" s="3">
        <v>1.0956826137689615</v>
      </c>
      <c r="Z103" s="3">
        <v>1.1656942823803966</v>
      </c>
      <c r="AA103" s="3">
        <v>1.129521586931155</v>
      </c>
      <c r="AB103" s="3">
        <v>1.2290937378451965</v>
      </c>
      <c r="AC103" s="3">
        <f t="shared" si="11"/>
        <v>1.2532088681446907</v>
      </c>
    </row>
    <row r="104" spans="1:29" x14ac:dyDescent="0.3">
      <c r="A104">
        <v>2</v>
      </c>
      <c r="B104" t="s">
        <v>25</v>
      </c>
      <c r="C104" t="s">
        <v>299</v>
      </c>
      <c r="D104">
        <v>114</v>
      </c>
      <c r="E104" t="s">
        <v>300</v>
      </c>
      <c r="F104" t="s">
        <v>301</v>
      </c>
      <c r="G104" t="s">
        <v>519</v>
      </c>
      <c r="H104" s="4">
        <v>3.4</v>
      </c>
      <c r="I104" s="5">
        <v>2.996</v>
      </c>
      <c r="J104" s="6">
        <v>3.6989999999999998</v>
      </c>
      <c r="K104" s="7">
        <v>2.7549999999999999</v>
      </c>
      <c r="L104" s="6">
        <v>3.9140000000000001</v>
      </c>
      <c r="M104" s="7">
        <v>3.0830000000000002</v>
      </c>
      <c r="N104" s="6">
        <v>3.7309999999999999</v>
      </c>
      <c r="O104" s="7">
        <v>2.823</v>
      </c>
      <c r="P104" s="3">
        <f t="shared" si="7"/>
        <v>3.2858571428571426</v>
      </c>
      <c r="Q104" s="3">
        <f t="shared" si="8"/>
        <v>3.9140000000000001</v>
      </c>
      <c r="R104" s="3">
        <f t="shared" si="9"/>
        <v>2.7549999999999999</v>
      </c>
      <c r="S104" s="3">
        <f t="shared" si="10"/>
        <v>1.1590000000000003</v>
      </c>
      <c r="T104" s="3" cm="1">
        <f t="array" ref="T104">MAX((TRANSPOSE(I104:O104)-I104:O104)/I104:O104)</f>
        <v>0.42068965517241391</v>
      </c>
      <c r="U104" s="3" cm="1">
        <f t="array" ref="U104">MAX((J104:O104-I104:N104)/I104:N104)</f>
        <v>0.42068965517241391</v>
      </c>
      <c r="V104" s="3" cm="1">
        <f t="array" ref="V104">MIN((TRANSPOSE(I104:O104)-I104:O104)/I104:O104)</f>
        <v>-0.29611650485436897</v>
      </c>
      <c r="W104" s="3" cm="1">
        <f t="array" ref="W104">MIN((J104:O104-I104:N104)/I104:N104)</f>
        <v>-0.25520410921870773</v>
      </c>
      <c r="X104" s="3">
        <v>1.2346461949265688</v>
      </c>
      <c r="Y104" s="3">
        <v>0.91955941255006668</v>
      </c>
      <c r="Z104" s="3">
        <v>1.3064085447263019</v>
      </c>
      <c r="AA104" s="3">
        <v>1.0290387182910548</v>
      </c>
      <c r="AB104" s="3">
        <v>1.2453271028037383</v>
      </c>
      <c r="AC104" s="3">
        <f t="shared" si="11"/>
        <v>0.94225634178905204</v>
      </c>
    </row>
    <row r="105" spans="1:29" x14ac:dyDescent="0.3">
      <c r="A105">
        <v>2</v>
      </c>
      <c r="B105" t="s">
        <v>25</v>
      </c>
      <c r="C105" t="s">
        <v>302</v>
      </c>
      <c r="D105">
        <v>11</v>
      </c>
      <c r="E105" t="s">
        <v>303</v>
      </c>
      <c r="F105" t="s">
        <v>304</v>
      </c>
      <c r="G105" t="s">
        <v>519</v>
      </c>
      <c r="H105" s="4">
        <v>38.299999999999997</v>
      </c>
      <c r="I105" s="5">
        <v>44.808</v>
      </c>
      <c r="J105" s="6">
        <v>40.94</v>
      </c>
      <c r="K105" s="7">
        <v>42.898000000000003</v>
      </c>
      <c r="L105" s="6">
        <v>40.503</v>
      </c>
      <c r="M105" s="7">
        <v>39.287999999999997</v>
      </c>
      <c r="N105" s="6">
        <v>36.96</v>
      </c>
      <c r="O105" s="7">
        <v>35.267000000000003</v>
      </c>
      <c r="P105" s="3">
        <f t="shared" si="7"/>
        <v>40.094857142857151</v>
      </c>
      <c r="Q105" s="3">
        <f t="shared" si="8"/>
        <v>44.808</v>
      </c>
      <c r="R105" s="3">
        <f t="shared" si="9"/>
        <v>35.267000000000003</v>
      </c>
      <c r="S105" s="3">
        <f t="shared" si="10"/>
        <v>9.5409999999999968</v>
      </c>
      <c r="T105" s="3" cm="1">
        <f t="array" ref="T105">MAX((TRANSPOSE(I105:O105)-I105:O105)/I105:O105)</f>
        <v>0.27053619531006312</v>
      </c>
      <c r="U105" s="3" cm="1">
        <f t="array" ref="U105">MAX((J105:O105-I105:N105)/I105:N105)</f>
        <v>4.7826086956521879E-2</v>
      </c>
      <c r="V105" s="3" cm="1">
        <f t="array" ref="V105">MIN((TRANSPOSE(I105:O105)-I105:O105)/I105:O105)</f>
        <v>-0.21293072665595422</v>
      </c>
      <c r="W105" s="3" cm="1">
        <f t="array" ref="W105">MIN((J105:O105-I105:N105)/I105:N105)</f>
        <v>-8.6323870737368372E-2</v>
      </c>
      <c r="X105" s="3">
        <v>0.91367612926263164</v>
      </c>
      <c r="Y105" s="3">
        <v>0.9573736832708446</v>
      </c>
      <c r="Z105" s="3">
        <v>0.90392340653454739</v>
      </c>
      <c r="AA105" s="3">
        <v>0.87680771290840909</v>
      </c>
      <c r="AB105" s="3">
        <v>0.82485270487412965</v>
      </c>
      <c r="AC105" s="3">
        <f t="shared" si="11"/>
        <v>0.78706927334404575</v>
      </c>
    </row>
    <row r="106" spans="1:29" x14ac:dyDescent="0.3">
      <c r="A106">
        <v>2</v>
      </c>
      <c r="B106" t="s">
        <v>25</v>
      </c>
      <c r="C106" t="s">
        <v>305</v>
      </c>
      <c r="D106">
        <v>34</v>
      </c>
      <c r="E106" t="s">
        <v>136</v>
      </c>
      <c r="F106" t="s">
        <v>306</v>
      </c>
      <c r="G106" t="s">
        <v>519</v>
      </c>
      <c r="H106" s="4">
        <v>3.7</v>
      </c>
      <c r="I106" s="5">
        <v>2.6309999999999998</v>
      </c>
      <c r="J106" s="6">
        <v>2.6269999999999998</v>
      </c>
      <c r="K106" s="7">
        <v>3.3769999999999998</v>
      </c>
      <c r="L106" s="6">
        <v>3.1280000000000001</v>
      </c>
      <c r="M106" s="7">
        <v>3.2029999999999998</v>
      </c>
      <c r="N106" s="6">
        <v>3.0329999999999999</v>
      </c>
      <c r="O106" s="7">
        <v>3.488</v>
      </c>
      <c r="P106" s="3">
        <f t="shared" si="7"/>
        <v>3.0695714285714284</v>
      </c>
      <c r="Q106" s="3">
        <f t="shared" si="8"/>
        <v>3.488</v>
      </c>
      <c r="R106" s="3">
        <f t="shared" si="9"/>
        <v>2.6269999999999998</v>
      </c>
      <c r="S106" s="3">
        <f t="shared" si="10"/>
        <v>0.86100000000000021</v>
      </c>
      <c r="T106" s="3" cm="1">
        <f t="array" ref="T106">MAX((TRANSPOSE(I106:O106)-I106:O106)/I106:O106)</f>
        <v>0.32775028549676449</v>
      </c>
      <c r="U106" s="3" cm="1">
        <f t="array" ref="U106">MAX((J106:O106-I106:N106)/I106:N106)</f>
        <v>0.28549676437000382</v>
      </c>
      <c r="V106" s="3" cm="1">
        <f t="array" ref="V106">MIN((TRANSPOSE(I106:O106)-I106:O106)/I106:O106)</f>
        <v>-0.24684633027522943</v>
      </c>
      <c r="W106" s="3" cm="1">
        <f t="array" ref="W106">MIN((J106:O106-I106:N106)/I106:N106)</f>
        <v>-7.3734083506070386E-2</v>
      </c>
      <c r="X106" s="3">
        <v>0.99847966552641576</v>
      </c>
      <c r="Y106" s="3">
        <v>1.2835423793234513</v>
      </c>
      <c r="Z106" s="3">
        <v>1.1889015583428355</v>
      </c>
      <c r="AA106" s="3">
        <v>1.217407829722539</v>
      </c>
      <c r="AB106" s="3">
        <v>1.1527936145952109</v>
      </c>
      <c r="AC106" s="3">
        <f t="shared" si="11"/>
        <v>1.3257316609654124</v>
      </c>
    </row>
    <row r="107" spans="1:29" x14ac:dyDescent="0.3">
      <c r="A107">
        <v>2</v>
      </c>
      <c r="B107" t="s">
        <v>25</v>
      </c>
      <c r="C107" t="s">
        <v>307</v>
      </c>
      <c r="D107">
        <v>27</v>
      </c>
      <c r="E107" t="s">
        <v>37</v>
      </c>
      <c r="F107" t="s">
        <v>308</v>
      </c>
      <c r="G107" t="s">
        <v>519</v>
      </c>
      <c r="H107" s="4">
        <v>7.8</v>
      </c>
      <c r="I107" s="5">
        <v>4.3959999999999999</v>
      </c>
      <c r="J107" s="6">
        <v>7.8460000000000001</v>
      </c>
      <c r="K107" s="7">
        <v>5.8760000000000003</v>
      </c>
      <c r="L107" s="6">
        <v>7.6459999999999999</v>
      </c>
      <c r="M107" s="7">
        <v>7.5549999999999997</v>
      </c>
      <c r="N107" s="6">
        <v>6.694</v>
      </c>
      <c r="O107" s="7">
        <v>7.5670000000000002</v>
      </c>
      <c r="P107" s="3">
        <f t="shared" si="7"/>
        <v>6.797142857142858</v>
      </c>
      <c r="Q107" s="3">
        <f t="shared" si="8"/>
        <v>7.8460000000000001</v>
      </c>
      <c r="R107" s="3">
        <f t="shared" si="9"/>
        <v>4.3959999999999999</v>
      </c>
      <c r="S107" s="3">
        <f t="shared" si="10"/>
        <v>3.45</v>
      </c>
      <c r="T107" s="3" cm="1">
        <f t="array" ref="T107">MAX((TRANSPOSE(I107:O107)-I107:O107)/I107:O107)</f>
        <v>0.78480436760691541</v>
      </c>
      <c r="U107" s="3" cm="1">
        <f t="array" ref="U107">MAX((J107:O107-I107:N107)/I107:N107)</f>
        <v>0.78480436760691541</v>
      </c>
      <c r="V107" s="3" cm="1">
        <f t="array" ref="V107">MIN((TRANSPOSE(I107:O107)-I107:O107)/I107:O107)</f>
        <v>-0.43971450420596486</v>
      </c>
      <c r="W107" s="3" cm="1">
        <f t="array" ref="W107">MIN((J107:O107-I107:N107)/I107:N107)</f>
        <v>-0.2510833545755799</v>
      </c>
      <c r="X107" s="3">
        <v>1.7848043676069154</v>
      </c>
      <c r="Y107" s="3">
        <v>1.3366696997270247</v>
      </c>
      <c r="Z107" s="3">
        <v>1.7393084622383985</v>
      </c>
      <c r="AA107" s="3">
        <v>1.7186078252957233</v>
      </c>
      <c r="AB107" s="3">
        <v>1.5227479526842584</v>
      </c>
      <c r="AC107" s="3">
        <f t="shared" si="11"/>
        <v>1.7213375796178345</v>
      </c>
    </row>
    <row r="108" spans="1:29" x14ac:dyDescent="0.3">
      <c r="A108">
        <v>1</v>
      </c>
      <c r="B108" t="s">
        <v>35</v>
      </c>
      <c r="C108" t="s">
        <v>309</v>
      </c>
      <c r="D108">
        <v>49</v>
      </c>
      <c r="E108" t="s">
        <v>133</v>
      </c>
      <c r="F108" t="s">
        <v>310</v>
      </c>
      <c r="G108" t="s">
        <v>519</v>
      </c>
      <c r="H108" s="4">
        <v>4</v>
      </c>
      <c r="I108" s="5">
        <v>3.7269999999999999</v>
      </c>
      <c r="J108" s="6">
        <v>4.2709999999999999</v>
      </c>
      <c r="K108" s="7">
        <v>3.6259999999999999</v>
      </c>
      <c r="L108" s="6">
        <v>3.7829999999999999</v>
      </c>
      <c r="M108" s="7">
        <v>3.742</v>
      </c>
      <c r="N108" s="6">
        <v>4.1760000000000002</v>
      </c>
      <c r="O108" s="7">
        <v>4.0190000000000001</v>
      </c>
      <c r="P108" s="3">
        <f t="shared" si="7"/>
        <v>3.9062857142857133</v>
      </c>
      <c r="Q108" s="3">
        <f t="shared" si="8"/>
        <v>4.2709999999999999</v>
      </c>
      <c r="R108" s="3">
        <f t="shared" si="9"/>
        <v>3.6259999999999999</v>
      </c>
      <c r="S108" s="3">
        <f t="shared" si="10"/>
        <v>0.64500000000000002</v>
      </c>
      <c r="T108" s="3" cm="1">
        <f t="array" ref="T108">MAX((TRANSPOSE(I108:O108)-I108:O108)/I108:O108)</f>
        <v>0.17788196359624933</v>
      </c>
      <c r="U108" s="3" cm="1">
        <f t="array" ref="U108">MAX((J108:O108-I108:N108)/I108:N108)</f>
        <v>0.14596189965119399</v>
      </c>
      <c r="V108" s="3" cm="1">
        <f t="array" ref="V108">MIN((TRANSPOSE(I108:O108)-I108:O108)/I108:O108)</f>
        <v>-0.15101849683914775</v>
      </c>
      <c r="W108" s="3" cm="1">
        <f t="array" ref="W108">MIN((J108:O108-I108:N108)/I108:N108)</f>
        <v>-0.15101849683914775</v>
      </c>
      <c r="X108" s="3">
        <v>1.145961899651194</v>
      </c>
      <c r="Y108" s="3">
        <v>0.97290045613093645</v>
      </c>
      <c r="Z108" s="3">
        <v>1.015025489669976</v>
      </c>
      <c r="AA108" s="3">
        <v>1.0040246847330292</v>
      </c>
      <c r="AB108" s="3">
        <v>1.1204722296753422</v>
      </c>
      <c r="AC108" s="3">
        <f t="shared" si="11"/>
        <v>1.0783471961363027</v>
      </c>
    </row>
    <row r="109" spans="1:29" x14ac:dyDescent="0.3">
      <c r="A109">
        <v>2</v>
      </c>
      <c r="B109" t="s">
        <v>25</v>
      </c>
      <c r="C109" t="s">
        <v>311</v>
      </c>
      <c r="D109">
        <v>31</v>
      </c>
      <c r="E109" t="s">
        <v>312</v>
      </c>
      <c r="F109" t="s">
        <v>313</v>
      </c>
      <c r="G109" t="s">
        <v>519</v>
      </c>
      <c r="H109" s="4">
        <v>2.2000000000000002</v>
      </c>
      <c r="I109" s="5">
        <v>1.7190000000000001</v>
      </c>
      <c r="J109" s="6">
        <v>1.984</v>
      </c>
      <c r="K109" s="7">
        <v>1.323</v>
      </c>
      <c r="L109" s="6">
        <v>2.2109999999999999</v>
      </c>
      <c r="M109" s="7">
        <v>1.8260000000000001</v>
      </c>
      <c r="N109" s="6">
        <v>2.2069999999999999</v>
      </c>
      <c r="O109" s="7">
        <v>1.96</v>
      </c>
      <c r="P109" s="3">
        <f t="shared" si="7"/>
        <v>1.8900000000000001</v>
      </c>
      <c r="Q109" s="3">
        <f t="shared" si="8"/>
        <v>2.2109999999999999</v>
      </c>
      <c r="R109" s="3">
        <f t="shared" si="9"/>
        <v>1.323</v>
      </c>
      <c r="S109" s="3">
        <f t="shared" si="10"/>
        <v>0.8879999999999999</v>
      </c>
      <c r="T109" s="3" cm="1">
        <f t="array" ref="T109">MAX((TRANSPOSE(I109:O109)-I109:O109)/I109:O109)</f>
        <v>0.67120181405895685</v>
      </c>
      <c r="U109" s="3" cm="1">
        <f t="array" ref="U109">MAX((J109:O109-I109:N109)/I109:N109)</f>
        <v>0.67120181405895685</v>
      </c>
      <c r="V109" s="3" cm="1">
        <f t="array" ref="V109">MIN((TRANSPOSE(I109:O109)-I109:O109)/I109:O109)</f>
        <v>-0.40162822252374492</v>
      </c>
      <c r="W109" s="3" cm="1">
        <f t="array" ref="W109">MIN((J109:O109-I109:N109)/I109:N109)</f>
        <v>-0.33316532258064518</v>
      </c>
      <c r="X109" s="3">
        <v>1.1541593949970912</v>
      </c>
      <c r="Y109" s="3">
        <v>0.76963350785340312</v>
      </c>
      <c r="Z109" s="3">
        <v>1.2862129144851657</v>
      </c>
      <c r="AA109" s="3">
        <v>1.0622454915648634</v>
      </c>
      <c r="AB109" s="3">
        <v>1.2838859802210587</v>
      </c>
      <c r="AC109" s="3">
        <f t="shared" si="11"/>
        <v>1.1401977894124491</v>
      </c>
    </row>
    <row r="110" spans="1:29" x14ac:dyDescent="0.3">
      <c r="A110">
        <v>1</v>
      </c>
      <c r="B110" t="s">
        <v>35</v>
      </c>
      <c r="C110" t="s">
        <v>314</v>
      </c>
      <c r="D110">
        <v>42</v>
      </c>
      <c r="E110" t="s">
        <v>315</v>
      </c>
      <c r="F110" t="s">
        <v>316</v>
      </c>
      <c r="G110" t="s">
        <v>519</v>
      </c>
      <c r="H110" s="4">
        <v>10.6</v>
      </c>
      <c r="I110" s="5">
        <v>4.6390000000000002</v>
      </c>
      <c r="J110" s="6">
        <v>9.1940000000000008</v>
      </c>
      <c r="K110" s="7">
        <v>9.59</v>
      </c>
      <c r="L110" s="6">
        <v>11.012</v>
      </c>
      <c r="M110" s="7">
        <v>9.9339999999999993</v>
      </c>
      <c r="N110" s="6">
        <v>10.784000000000001</v>
      </c>
      <c r="O110" s="7">
        <v>11.025</v>
      </c>
      <c r="P110" s="3">
        <f t="shared" si="7"/>
        <v>9.4539999999999988</v>
      </c>
      <c r="Q110" s="3">
        <f t="shared" si="8"/>
        <v>11.025</v>
      </c>
      <c r="R110" s="3">
        <f t="shared" si="9"/>
        <v>4.6390000000000002</v>
      </c>
      <c r="S110" s="3">
        <f t="shared" si="10"/>
        <v>6.3860000000000001</v>
      </c>
      <c r="T110" s="3" cm="1">
        <f t="array" ref="T110">MAX((TRANSPOSE(I110:O110)-I110:O110)/I110:O110)</f>
        <v>1.3765897822806639</v>
      </c>
      <c r="U110" s="3" cm="1">
        <f t="array" ref="U110">MAX((J110:O110-I110:N110)/I110:N110)</f>
        <v>0.98189264927786168</v>
      </c>
      <c r="V110" s="3" cm="1">
        <f t="array" ref="V110">MIN((TRANSPOSE(I110:O110)-I110:O110)/I110:O110)</f>
        <v>-0.57922902494331063</v>
      </c>
      <c r="W110" s="3" cm="1">
        <f t="array" ref="W110">MIN((J110:O110-I110:N110)/I110:N110)</f>
        <v>-9.7893207410098174E-2</v>
      </c>
      <c r="X110" s="3">
        <v>1.9818926492778617</v>
      </c>
      <c r="Y110" s="3">
        <v>2.0672558741107996</v>
      </c>
      <c r="Z110" s="3">
        <v>2.3737874541927138</v>
      </c>
      <c r="AA110" s="3">
        <v>2.1414097865919377</v>
      </c>
      <c r="AB110" s="3">
        <v>2.3246389308040527</v>
      </c>
      <c r="AC110" s="3">
        <f t="shared" si="11"/>
        <v>2.3765897822806639</v>
      </c>
    </row>
    <row r="111" spans="1:29" x14ac:dyDescent="0.3">
      <c r="A111">
        <v>3</v>
      </c>
      <c r="B111" t="s">
        <v>21</v>
      </c>
      <c r="C111" t="s">
        <v>317</v>
      </c>
      <c r="D111">
        <v>52</v>
      </c>
      <c r="E111" t="s">
        <v>107</v>
      </c>
      <c r="F111" t="s">
        <v>318</v>
      </c>
      <c r="G111" t="s">
        <v>519</v>
      </c>
      <c r="H111" s="4">
        <v>11.3</v>
      </c>
      <c r="I111" s="5">
        <v>8.6999999999999993</v>
      </c>
      <c r="J111" s="6">
        <v>10.991</v>
      </c>
      <c r="K111" s="7">
        <v>11.076000000000001</v>
      </c>
      <c r="L111" s="6">
        <v>8.6980000000000004</v>
      </c>
      <c r="M111" s="7">
        <v>11.124000000000001</v>
      </c>
      <c r="N111" s="6">
        <v>10.375</v>
      </c>
      <c r="O111" s="7">
        <v>11.753</v>
      </c>
      <c r="P111" s="3">
        <f t="shared" si="7"/>
        <v>10.388142857142858</v>
      </c>
      <c r="Q111" s="3">
        <f t="shared" si="8"/>
        <v>11.753</v>
      </c>
      <c r="R111" s="3">
        <f t="shared" si="9"/>
        <v>8.6980000000000004</v>
      </c>
      <c r="S111" s="3">
        <f t="shared" si="10"/>
        <v>3.0549999999999997</v>
      </c>
      <c r="T111" s="3" cm="1">
        <f t="array" ref="T111">MAX((TRANSPOSE(I111:O111)-I111:O111)/I111:O111)</f>
        <v>0.3512301678546792</v>
      </c>
      <c r="U111" s="3" cm="1">
        <f t="array" ref="U111">MAX((J111:O111-I111:N111)/I111:N111)</f>
        <v>0.27891469303288113</v>
      </c>
      <c r="V111" s="3" cm="1">
        <f t="array" ref="V111">MIN((TRANSPOSE(I111:O111)-I111:O111)/I111:O111)</f>
        <v>-0.25993363396579594</v>
      </c>
      <c r="W111" s="3" cm="1">
        <f t="array" ref="W111">MIN((J111:O111-I111:N111)/I111:N111)</f>
        <v>-0.2146984470928133</v>
      </c>
      <c r="X111" s="3">
        <v>1.2633333333333334</v>
      </c>
      <c r="Y111" s="3">
        <v>1.2731034482758623</v>
      </c>
      <c r="Z111" s="3">
        <v>0.99977011494252888</v>
      </c>
      <c r="AA111" s="3">
        <v>1.2786206896551726</v>
      </c>
      <c r="AB111" s="3">
        <v>1.1925287356321841</v>
      </c>
      <c r="AC111" s="3">
        <f t="shared" si="11"/>
        <v>1.3509195402298853</v>
      </c>
    </row>
    <row r="112" spans="1:29" x14ac:dyDescent="0.3">
      <c r="A112">
        <v>2</v>
      </c>
      <c r="B112" t="s">
        <v>25</v>
      </c>
      <c r="C112" t="s">
        <v>319</v>
      </c>
      <c r="D112">
        <v>91</v>
      </c>
      <c r="E112" t="s">
        <v>320</v>
      </c>
      <c r="F112" t="s">
        <v>321</v>
      </c>
      <c r="G112" t="s">
        <v>519</v>
      </c>
      <c r="H112" s="4">
        <v>3.1</v>
      </c>
      <c r="I112" s="5">
        <v>2.8140000000000001</v>
      </c>
      <c r="J112" s="6">
        <v>2.77</v>
      </c>
      <c r="K112" s="7">
        <v>2.5680000000000001</v>
      </c>
      <c r="L112" s="6">
        <v>2.8660000000000001</v>
      </c>
      <c r="M112" s="7">
        <v>2.964</v>
      </c>
      <c r="N112" s="6">
        <v>3.0329999999999999</v>
      </c>
      <c r="O112" s="7">
        <v>3.0230000000000001</v>
      </c>
      <c r="P112" s="3">
        <f t="shared" si="7"/>
        <v>2.8625714285714285</v>
      </c>
      <c r="Q112" s="3">
        <f t="shared" si="8"/>
        <v>3.0329999999999999</v>
      </c>
      <c r="R112" s="3">
        <f t="shared" si="9"/>
        <v>2.5680000000000001</v>
      </c>
      <c r="S112" s="3">
        <f t="shared" si="10"/>
        <v>0.46499999999999986</v>
      </c>
      <c r="T112" s="3" cm="1">
        <f t="array" ref="T112">MAX((TRANSPOSE(I112:O112)-I112:O112)/I112:O112)</f>
        <v>0.18107476635514014</v>
      </c>
      <c r="U112" s="3" cm="1">
        <f t="array" ref="U112">MAX((J112:O112-I112:N112)/I112:N112)</f>
        <v>0.11604361370716512</v>
      </c>
      <c r="V112" s="3" cm="1">
        <f t="array" ref="V112">MIN((TRANSPOSE(I112:O112)-I112:O112)/I112:O112)</f>
        <v>-0.15331355093966365</v>
      </c>
      <c r="W112" s="3" cm="1">
        <f t="array" ref="W112">MIN((J112:O112-I112:N112)/I112:N112)</f>
        <v>-7.2924187725631751E-2</v>
      </c>
      <c r="X112" s="3">
        <v>0.98436389481165598</v>
      </c>
      <c r="Y112" s="3">
        <v>0.91257995735607678</v>
      </c>
      <c r="Z112" s="3">
        <v>1.0184790334044065</v>
      </c>
      <c r="AA112" s="3">
        <v>1.0533049040511726</v>
      </c>
      <c r="AB112" s="3">
        <v>1.0778251599147122</v>
      </c>
      <c r="AC112" s="3">
        <f t="shared" si="11"/>
        <v>1.0742714996446341</v>
      </c>
    </row>
    <row r="113" spans="1:29" x14ac:dyDescent="0.3">
      <c r="A113">
        <v>2</v>
      </c>
      <c r="B113" t="s">
        <v>25</v>
      </c>
      <c r="C113" t="s">
        <v>322</v>
      </c>
      <c r="D113">
        <v>3</v>
      </c>
      <c r="E113" t="s">
        <v>323</v>
      </c>
      <c r="F113" t="s">
        <v>324</v>
      </c>
      <c r="G113" t="s">
        <v>519</v>
      </c>
      <c r="H113" s="4">
        <v>3.2</v>
      </c>
      <c r="I113" s="5">
        <v>2.5099999999999998</v>
      </c>
      <c r="J113" s="6">
        <v>2.4129999999999998</v>
      </c>
      <c r="K113" s="7">
        <v>2.8170000000000002</v>
      </c>
      <c r="L113" s="6">
        <v>2.8660000000000001</v>
      </c>
      <c r="M113" s="7">
        <v>2.964</v>
      </c>
      <c r="N113" s="6">
        <v>2.5880000000000001</v>
      </c>
      <c r="O113" s="7">
        <v>2.7570000000000001</v>
      </c>
      <c r="P113" s="3">
        <f t="shared" si="7"/>
        <v>2.7021428571428574</v>
      </c>
      <c r="Q113" s="3">
        <f t="shared" si="8"/>
        <v>2.964</v>
      </c>
      <c r="R113" s="3">
        <f t="shared" si="9"/>
        <v>2.4129999999999998</v>
      </c>
      <c r="S113" s="3">
        <f t="shared" si="10"/>
        <v>0.55100000000000016</v>
      </c>
      <c r="T113" s="3" cm="1">
        <f t="array" ref="T113">MAX((TRANSPOSE(I113:O113)-I113:O113)/I113:O113)</f>
        <v>0.22834645669291348</v>
      </c>
      <c r="U113" s="3" cm="1">
        <f t="array" ref="U113">MAX((J113:O113-I113:N113)/I113:N113)</f>
        <v>0.1674264401160383</v>
      </c>
      <c r="V113" s="3" cm="1">
        <f t="array" ref="V113">MIN((TRANSPOSE(I113:O113)-I113:O113)/I113:O113)</f>
        <v>-0.18589743589743596</v>
      </c>
      <c r="W113" s="3" cm="1">
        <f t="array" ref="W113">MIN((J113:O113-I113:N113)/I113:N113)</f>
        <v>-0.12685560053981104</v>
      </c>
      <c r="X113" s="3">
        <v>0.96135458167330679</v>
      </c>
      <c r="Y113" s="3">
        <v>1.1223107569721118</v>
      </c>
      <c r="Z113" s="3">
        <v>1.1418326693227092</v>
      </c>
      <c r="AA113" s="3">
        <v>1.1808764940239045</v>
      </c>
      <c r="AB113" s="3">
        <v>1.0310756972111554</v>
      </c>
      <c r="AC113" s="3">
        <f t="shared" si="11"/>
        <v>1.0984063745019921</v>
      </c>
    </row>
    <row r="114" spans="1:29" x14ac:dyDescent="0.3">
      <c r="A114">
        <v>2</v>
      </c>
      <c r="B114" t="s">
        <v>25</v>
      </c>
      <c r="C114" t="s">
        <v>325</v>
      </c>
      <c r="D114">
        <v>59</v>
      </c>
      <c r="E114" t="s">
        <v>326</v>
      </c>
      <c r="F114" t="s">
        <v>327</v>
      </c>
      <c r="G114" t="s">
        <v>519</v>
      </c>
      <c r="H114" s="4">
        <v>3.3</v>
      </c>
      <c r="I114" s="5">
        <v>3.544</v>
      </c>
      <c r="J114" s="6">
        <v>3.9849999999999999</v>
      </c>
      <c r="K114" s="7">
        <v>3.2530000000000001</v>
      </c>
      <c r="L114" s="6">
        <v>3.4550000000000001</v>
      </c>
      <c r="M114" s="7">
        <v>2.7839999999999998</v>
      </c>
      <c r="N114" s="6">
        <v>3.2869999999999999</v>
      </c>
      <c r="O114" s="7">
        <v>3.355</v>
      </c>
      <c r="P114" s="3">
        <f t="shared" si="7"/>
        <v>3.3804285714285713</v>
      </c>
      <c r="Q114" s="3">
        <f t="shared" si="8"/>
        <v>3.9849999999999999</v>
      </c>
      <c r="R114" s="3">
        <f t="shared" si="9"/>
        <v>2.7839999999999998</v>
      </c>
      <c r="S114" s="3">
        <f t="shared" si="10"/>
        <v>1.2010000000000001</v>
      </c>
      <c r="T114" s="3" cm="1">
        <f t="array" ref="T114">MAX((TRANSPOSE(I114:O114)-I114:O114)/I114:O114)</f>
        <v>0.43139367816091961</v>
      </c>
      <c r="U114" s="3" cm="1">
        <f t="array" ref="U114">MAX((J114:O114-I114:N114)/I114:N114)</f>
        <v>0.18067528735632188</v>
      </c>
      <c r="V114" s="3" cm="1">
        <f t="array" ref="V114">MIN((TRANSPOSE(I114:O114)-I114:O114)/I114:O114)</f>
        <v>-0.30138017565872022</v>
      </c>
      <c r="W114" s="3" cm="1">
        <f t="array" ref="W114">MIN((J114:O114-I114:N114)/I114:N114)</f>
        <v>-0.19421128798842266</v>
      </c>
      <c r="X114" s="3">
        <v>1.1244356659142212</v>
      </c>
      <c r="Y114" s="3">
        <v>0.91788939051918739</v>
      </c>
      <c r="Z114" s="3">
        <v>0.97488713318284426</v>
      </c>
      <c r="AA114" s="3">
        <v>0.78555304740406318</v>
      </c>
      <c r="AB114" s="3">
        <v>0.92748306997742658</v>
      </c>
      <c r="AC114" s="3">
        <f t="shared" si="11"/>
        <v>0.94667042889390518</v>
      </c>
    </row>
    <row r="115" spans="1:29" x14ac:dyDescent="0.3">
      <c r="A115">
        <v>2</v>
      </c>
      <c r="B115" t="s">
        <v>25</v>
      </c>
      <c r="C115" t="s">
        <v>328</v>
      </c>
      <c r="D115">
        <v>39</v>
      </c>
      <c r="E115" t="s">
        <v>212</v>
      </c>
      <c r="F115" t="s">
        <v>329</v>
      </c>
      <c r="G115" t="s">
        <v>519</v>
      </c>
      <c r="H115" s="4">
        <v>3.4</v>
      </c>
      <c r="I115" s="5">
        <v>2.6920000000000002</v>
      </c>
      <c r="J115" s="6">
        <v>3.3420000000000001</v>
      </c>
      <c r="K115" s="7">
        <v>2.879</v>
      </c>
      <c r="L115" s="6">
        <v>2.8</v>
      </c>
      <c r="M115" s="7">
        <v>2.8439999999999999</v>
      </c>
      <c r="N115" s="6">
        <v>2.9060000000000001</v>
      </c>
      <c r="O115" s="7">
        <v>3.488</v>
      </c>
      <c r="P115" s="3">
        <f t="shared" si="7"/>
        <v>2.9929999999999999</v>
      </c>
      <c r="Q115" s="3">
        <f t="shared" si="8"/>
        <v>3.488</v>
      </c>
      <c r="R115" s="3">
        <f t="shared" si="9"/>
        <v>2.6920000000000002</v>
      </c>
      <c r="S115" s="3">
        <f t="shared" si="10"/>
        <v>0.79599999999999982</v>
      </c>
      <c r="T115" s="3" cm="1">
        <f t="array" ref="T115">MAX((TRANSPOSE(I115:O115)-I115:O115)/I115:O115)</f>
        <v>0.29569093610698355</v>
      </c>
      <c r="U115" s="3" cm="1">
        <f t="array" ref="U115">MAX((J115:O115-I115:N115)/I115:N115)</f>
        <v>0.24145616641901926</v>
      </c>
      <c r="V115" s="3" cm="1">
        <f t="array" ref="V115">MIN((TRANSPOSE(I115:O115)-I115:O115)/I115:O115)</f>
        <v>-0.22821100917431186</v>
      </c>
      <c r="W115" s="3" cm="1">
        <f t="array" ref="W115">MIN((J115:O115-I115:N115)/I115:N115)</f>
        <v>-0.13853979652902457</v>
      </c>
      <c r="X115" s="3">
        <v>1.2414561664190193</v>
      </c>
      <c r="Y115" s="3">
        <v>1.0694650817236255</v>
      </c>
      <c r="Z115" s="3">
        <v>1.0401188707280831</v>
      </c>
      <c r="AA115" s="3">
        <v>1.0564635958395243</v>
      </c>
      <c r="AB115" s="3">
        <v>1.0794947994056463</v>
      </c>
      <c r="AC115" s="3">
        <f t="shared" si="11"/>
        <v>1.2956909361069835</v>
      </c>
    </row>
    <row r="116" spans="1:29" x14ac:dyDescent="0.3">
      <c r="A116">
        <v>2</v>
      </c>
      <c r="B116" t="s">
        <v>25</v>
      </c>
      <c r="C116" t="s">
        <v>330</v>
      </c>
      <c r="D116">
        <v>111</v>
      </c>
      <c r="E116" t="s">
        <v>331</v>
      </c>
      <c r="F116" t="s">
        <v>332</v>
      </c>
      <c r="G116" t="s">
        <v>519</v>
      </c>
      <c r="H116" s="4">
        <v>3.4</v>
      </c>
      <c r="I116" s="5">
        <v>3.544</v>
      </c>
      <c r="J116" s="6">
        <v>3.6989999999999998</v>
      </c>
      <c r="K116" s="7">
        <v>3.2530000000000001</v>
      </c>
      <c r="L116" s="6">
        <v>3.9140000000000001</v>
      </c>
      <c r="M116" s="7">
        <v>2.964</v>
      </c>
      <c r="N116" s="6">
        <v>3.16</v>
      </c>
      <c r="O116" s="7">
        <v>2.956</v>
      </c>
      <c r="P116" s="3">
        <f t="shared" si="7"/>
        <v>3.3557142857142854</v>
      </c>
      <c r="Q116" s="3">
        <f t="shared" si="8"/>
        <v>3.9140000000000001</v>
      </c>
      <c r="R116" s="3">
        <f t="shared" si="9"/>
        <v>2.956</v>
      </c>
      <c r="S116" s="3">
        <f t="shared" si="10"/>
        <v>0.95800000000000018</v>
      </c>
      <c r="T116" s="3" cm="1">
        <f t="array" ref="T116">MAX((TRANSPOSE(I116:O116)-I116:O116)/I116:O116)</f>
        <v>0.32408660351826801</v>
      </c>
      <c r="U116" s="3" cm="1">
        <f t="array" ref="U116">MAX((J116:O116-I116:N116)/I116:N116)</f>
        <v>0.20319704887795881</v>
      </c>
      <c r="V116" s="3" cm="1">
        <f t="array" ref="V116">MIN((TRANSPOSE(I116:O116)-I116:O116)/I116:O116)</f>
        <v>-0.24476239141543182</v>
      </c>
      <c r="W116" s="3" cm="1">
        <f t="array" ref="W116">MIN((J116:O116-I116:N116)/I116:N116)</f>
        <v>-0.24271844660194178</v>
      </c>
      <c r="X116" s="3">
        <v>1.0437358916478554</v>
      </c>
      <c r="Y116" s="3">
        <v>0.91788939051918739</v>
      </c>
      <c r="Z116" s="3">
        <v>1.1044018058690745</v>
      </c>
      <c r="AA116" s="3">
        <v>0.83634311512415349</v>
      </c>
      <c r="AB116" s="3">
        <v>0.8916478555304741</v>
      </c>
      <c r="AC116" s="3">
        <f t="shared" si="11"/>
        <v>0.8340857787810384</v>
      </c>
    </row>
    <row r="117" spans="1:29" x14ac:dyDescent="0.3">
      <c r="A117">
        <v>1</v>
      </c>
      <c r="B117" t="s">
        <v>35</v>
      </c>
      <c r="C117" t="s">
        <v>333</v>
      </c>
      <c r="D117">
        <v>31</v>
      </c>
      <c r="E117" t="s">
        <v>312</v>
      </c>
      <c r="F117" t="s">
        <v>334</v>
      </c>
      <c r="G117" t="s">
        <v>519</v>
      </c>
      <c r="H117" s="4">
        <v>3.5</v>
      </c>
      <c r="I117" s="5">
        <v>2.875</v>
      </c>
      <c r="J117" s="6">
        <v>3.6280000000000001</v>
      </c>
      <c r="K117" s="7">
        <v>3.19</v>
      </c>
      <c r="L117" s="6">
        <v>3.1280000000000001</v>
      </c>
      <c r="M117" s="7">
        <v>3.1429999999999998</v>
      </c>
      <c r="N117" s="6">
        <v>3.35</v>
      </c>
      <c r="O117" s="7">
        <v>3.62</v>
      </c>
      <c r="P117" s="3">
        <f t="shared" si="7"/>
        <v>3.2762857142857142</v>
      </c>
      <c r="Q117" s="3">
        <f t="shared" si="8"/>
        <v>3.6280000000000001</v>
      </c>
      <c r="R117" s="3">
        <f t="shared" si="9"/>
        <v>2.875</v>
      </c>
      <c r="S117" s="3">
        <f t="shared" si="10"/>
        <v>0.75300000000000011</v>
      </c>
      <c r="T117" s="3" cm="1">
        <f t="array" ref="T117">MAX((TRANSPOSE(I117:O117)-I117:O117)/I117:O117)</f>
        <v>0.26191304347826089</v>
      </c>
      <c r="U117" s="3" cm="1">
        <f t="array" ref="U117">MAX((J117:O117-I117:N117)/I117:N117)</f>
        <v>0.26191304347826089</v>
      </c>
      <c r="V117" s="3" cm="1">
        <f t="array" ref="V117">MIN((TRANSPOSE(I117:O117)-I117:O117)/I117:O117)</f>
        <v>-0.20755237045203973</v>
      </c>
      <c r="W117" s="3" cm="1">
        <f t="array" ref="W117">MIN((J117:O117-I117:N117)/I117:N117)</f>
        <v>-0.12072767364939364</v>
      </c>
      <c r="X117" s="3">
        <v>1.2619130434782608</v>
      </c>
      <c r="Y117" s="3">
        <v>1.1095652173913044</v>
      </c>
      <c r="Z117" s="3">
        <v>1.0880000000000001</v>
      </c>
      <c r="AA117" s="3">
        <v>1.0932173913043477</v>
      </c>
      <c r="AB117" s="3">
        <v>1.1652173913043478</v>
      </c>
      <c r="AC117" s="3">
        <f t="shared" si="11"/>
        <v>1.2591304347826087</v>
      </c>
    </row>
    <row r="118" spans="1:29" x14ac:dyDescent="0.3">
      <c r="A118">
        <v>2</v>
      </c>
      <c r="B118" t="s">
        <v>25</v>
      </c>
      <c r="C118" t="s">
        <v>335</v>
      </c>
      <c r="D118">
        <v>112</v>
      </c>
      <c r="E118" t="s">
        <v>336</v>
      </c>
      <c r="F118" t="s">
        <v>337</v>
      </c>
      <c r="G118" t="s">
        <v>519</v>
      </c>
      <c r="H118" s="4">
        <v>21</v>
      </c>
      <c r="I118" s="5">
        <v>29.882999999999999</v>
      </c>
      <c r="J118" s="6">
        <v>25.765999999999998</v>
      </c>
      <c r="K118" s="7">
        <v>25.914999999999999</v>
      </c>
      <c r="L118" s="6">
        <v>23.658999999999999</v>
      </c>
      <c r="M118" s="7">
        <v>22.574000000000002</v>
      </c>
      <c r="N118" s="6">
        <v>21.431999999999999</v>
      </c>
      <c r="O118" s="7">
        <v>19.558</v>
      </c>
      <c r="P118" s="3">
        <f t="shared" si="7"/>
        <v>24.11242857142857</v>
      </c>
      <c r="Q118" s="3">
        <f t="shared" si="8"/>
        <v>29.882999999999999</v>
      </c>
      <c r="R118" s="3">
        <f t="shared" si="9"/>
        <v>19.558</v>
      </c>
      <c r="S118" s="3">
        <f t="shared" si="10"/>
        <v>10.324999999999999</v>
      </c>
      <c r="T118" s="3" cm="1">
        <f t="array" ref="T118">MAX((TRANSPOSE(I118:O118)-I118:O118)/I118:O118)</f>
        <v>0.52791696492483886</v>
      </c>
      <c r="U118" s="3" cm="1">
        <f t="array" ref="U118">MAX((J118:O118-I118:N118)/I118:N118)</f>
        <v>5.7828145618256978E-3</v>
      </c>
      <c r="V118" s="3" cm="1">
        <f t="array" ref="V118">MIN((TRANSPOSE(I118:O118)-I118:O118)/I118:O118)</f>
        <v>-0.34551417193722184</v>
      </c>
      <c r="W118" s="3" cm="1">
        <f t="array" ref="W118">MIN((J118:O118-I118:N118)/I118:N118)</f>
        <v>-0.13777063882474988</v>
      </c>
      <c r="X118" s="3">
        <v>0.86222936117525006</v>
      </c>
      <c r="Y118" s="3">
        <v>0.86721547368068796</v>
      </c>
      <c r="Z118" s="3">
        <v>0.79172104541043398</v>
      </c>
      <c r="AA118" s="3">
        <v>0.75541277649499727</v>
      </c>
      <c r="AB118" s="3">
        <v>0.71719706856741283</v>
      </c>
      <c r="AC118" s="3">
        <f t="shared" si="11"/>
        <v>0.65448582806277822</v>
      </c>
    </row>
    <row r="119" spans="1:29" x14ac:dyDescent="0.3">
      <c r="A119">
        <v>2</v>
      </c>
      <c r="B119" t="s">
        <v>25</v>
      </c>
      <c r="C119" t="s">
        <v>338</v>
      </c>
      <c r="D119">
        <v>12</v>
      </c>
      <c r="E119" t="s">
        <v>339</v>
      </c>
      <c r="F119" t="s">
        <v>340</v>
      </c>
      <c r="G119" t="s">
        <v>519</v>
      </c>
      <c r="H119" s="4">
        <v>3.6</v>
      </c>
      <c r="I119" s="5">
        <v>3.1789999999999998</v>
      </c>
      <c r="J119" s="6">
        <v>3.9140000000000001</v>
      </c>
      <c r="K119" s="7">
        <v>3.3149999999999999</v>
      </c>
      <c r="L119" s="6">
        <v>3.4550000000000001</v>
      </c>
      <c r="M119" s="7">
        <v>3.383</v>
      </c>
      <c r="N119" s="6">
        <v>3.4140000000000001</v>
      </c>
      <c r="O119" s="7">
        <v>3.222</v>
      </c>
      <c r="P119" s="3">
        <f t="shared" si="7"/>
        <v>3.4117142857142859</v>
      </c>
      <c r="Q119" s="3">
        <f t="shared" si="8"/>
        <v>3.9140000000000001</v>
      </c>
      <c r="R119" s="3">
        <f t="shared" si="9"/>
        <v>3.1789999999999998</v>
      </c>
      <c r="S119" s="3">
        <f t="shared" si="10"/>
        <v>0.73500000000000032</v>
      </c>
      <c r="T119" s="3" cm="1">
        <f t="array" ref="T119">MAX((TRANSPOSE(I119:O119)-I119:O119)/I119:O119)</f>
        <v>0.23120478137779188</v>
      </c>
      <c r="U119" s="3" cm="1">
        <f t="array" ref="U119">MAX((J119:O119-I119:N119)/I119:N119)</f>
        <v>0.23120478137779188</v>
      </c>
      <c r="V119" s="3" cm="1">
        <f t="array" ref="V119">MIN((TRANSPOSE(I119:O119)-I119:O119)/I119:O119)</f>
        <v>-0.1877874297393971</v>
      </c>
      <c r="W119" s="3" cm="1">
        <f t="array" ref="W119">MIN((J119:O119-I119:N119)/I119:N119)</f>
        <v>-0.15304036791006648</v>
      </c>
      <c r="X119" s="3">
        <v>1.2312047813777918</v>
      </c>
      <c r="Y119" s="3">
        <v>1.0427807486631016</v>
      </c>
      <c r="Z119" s="3">
        <v>1.0868197546398239</v>
      </c>
      <c r="AA119" s="3">
        <v>1.0641711229946524</v>
      </c>
      <c r="AB119" s="3">
        <v>1.0739226171752125</v>
      </c>
      <c r="AC119" s="3">
        <f t="shared" si="11"/>
        <v>1.0135262661214219</v>
      </c>
    </row>
    <row r="120" spans="1:29" x14ac:dyDescent="0.3">
      <c r="A120">
        <v>2</v>
      </c>
      <c r="B120" t="s">
        <v>25</v>
      </c>
      <c r="C120" t="s">
        <v>341</v>
      </c>
      <c r="D120">
        <v>99</v>
      </c>
      <c r="E120" t="s">
        <v>342</v>
      </c>
      <c r="F120" t="s">
        <v>343</v>
      </c>
      <c r="G120" t="s">
        <v>519</v>
      </c>
      <c r="H120" s="4">
        <v>3.7</v>
      </c>
      <c r="I120" s="5">
        <v>3.6659999999999999</v>
      </c>
      <c r="J120" s="6">
        <v>4.4139999999999997</v>
      </c>
      <c r="K120" s="7">
        <v>3.19</v>
      </c>
      <c r="L120" s="6">
        <v>3.7829999999999999</v>
      </c>
      <c r="M120" s="7">
        <v>3.1429999999999998</v>
      </c>
      <c r="N120" s="6">
        <v>4.0490000000000004</v>
      </c>
      <c r="O120" s="7">
        <v>3.7530000000000001</v>
      </c>
      <c r="P120" s="3">
        <f t="shared" si="7"/>
        <v>3.7139999999999995</v>
      </c>
      <c r="Q120" s="3">
        <f t="shared" si="8"/>
        <v>4.4139999999999997</v>
      </c>
      <c r="R120" s="3">
        <f t="shared" si="9"/>
        <v>3.1429999999999998</v>
      </c>
      <c r="S120" s="3">
        <f t="shared" si="10"/>
        <v>1.2709999999999999</v>
      </c>
      <c r="T120" s="3" cm="1">
        <f t="array" ref="T120">MAX((TRANSPOSE(I120:O120)-I120:O120)/I120:O120)</f>
        <v>0.40439070951320394</v>
      </c>
      <c r="U120" s="3" cm="1">
        <f t="array" ref="U120">MAX((J120:O120-I120:N120)/I120:N120)</f>
        <v>0.28825962456252008</v>
      </c>
      <c r="V120" s="3" cm="1">
        <f t="array" ref="V120">MIN((TRANSPOSE(I120:O120)-I120:O120)/I120:O120)</f>
        <v>-0.28794743996375172</v>
      </c>
      <c r="W120" s="3" cm="1">
        <f t="array" ref="W120">MIN((J120:O120-I120:N120)/I120:N120)</f>
        <v>-0.27729950158586314</v>
      </c>
      <c r="X120" s="3">
        <v>1.2040370976541188</v>
      </c>
      <c r="Y120" s="3">
        <v>0.87015821058374254</v>
      </c>
      <c r="Z120" s="3">
        <v>1.0319148936170213</v>
      </c>
      <c r="AA120" s="3">
        <v>0.85733769776322966</v>
      </c>
      <c r="AB120" s="3">
        <v>1.1044735406437536</v>
      </c>
      <c r="AC120" s="3">
        <f t="shared" si="11"/>
        <v>1.0237315875613748</v>
      </c>
    </row>
    <row r="121" spans="1:29" x14ac:dyDescent="0.3">
      <c r="A121">
        <v>2</v>
      </c>
      <c r="B121" t="s">
        <v>25</v>
      </c>
      <c r="C121" t="s">
        <v>344</v>
      </c>
      <c r="D121">
        <v>83</v>
      </c>
      <c r="E121" t="s">
        <v>345</v>
      </c>
      <c r="F121" t="s">
        <v>346</v>
      </c>
      <c r="G121" t="s">
        <v>519</v>
      </c>
      <c r="H121" s="4">
        <v>7.7</v>
      </c>
      <c r="I121" s="5">
        <v>9.5</v>
      </c>
      <c r="J121" s="6">
        <v>9.8680000000000003</v>
      </c>
      <c r="K121" s="7">
        <v>8.6</v>
      </c>
      <c r="L121" s="6">
        <v>9.9600000000000009</v>
      </c>
      <c r="M121" s="7">
        <v>8.7439999999999998</v>
      </c>
      <c r="N121" s="6">
        <v>7.9210000000000003</v>
      </c>
      <c r="O121" s="7">
        <v>6.4749999999999996</v>
      </c>
      <c r="P121" s="3">
        <f t="shared" si="7"/>
        <v>8.7240000000000002</v>
      </c>
      <c r="Q121" s="3">
        <f t="shared" si="8"/>
        <v>9.9600000000000009</v>
      </c>
      <c r="R121" s="3">
        <f t="shared" si="9"/>
        <v>6.4749999999999996</v>
      </c>
      <c r="S121" s="3">
        <f t="shared" si="10"/>
        <v>3.4850000000000012</v>
      </c>
      <c r="T121" s="3" cm="1">
        <f t="array" ref="T121">MAX((TRANSPOSE(I121:O121)-I121:O121)/I121:O121)</f>
        <v>0.53822393822393844</v>
      </c>
      <c r="U121" s="3" cm="1">
        <f t="array" ref="U121">MAX((J121:O121-I121:N121)/I121:N121)</f>
        <v>0.15813953488372107</v>
      </c>
      <c r="V121" s="3" cm="1">
        <f t="array" ref="V121">MIN((TRANSPOSE(I121:O121)-I121:O121)/I121:O121)</f>
        <v>-0.34989959839357437</v>
      </c>
      <c r="W121" s="3" cm="1">
        <f t="array" ref="W121">MIN((J121:O121-I121:N121)/I121:N121)</f>
        <v>-0.18255270799141529</v>
      </c>
      <c r="X121" s="3">
        <v>1.0387368421052632</v>
      </c>
      <c r="Y121" s="3">
        <v>0.90526315789473677</v>
      </c>
      <c r="Z121" s="3">
        <v>1.0484210526315791</v>
      </c>
      <c r="AA121" s="3">
        <v>0.92042105263157892</v>
      </c>
      <c r="AB121" s="3">
        <v>0.83378947368421052</v>
      </c>
      <c r="AC121" s="3">
        <f t="shared" si="11"/>
        <v>0.68157894736842106</v>
      </c>
    </row>
    <row r="122" spans="1:29" x14ac:dyDescent="0.3">
      <c r="A122">
        <v>2</v>
      </c>
      <c r="B122" t="s">
        <v>25</v>
      </c>
      <c r="C122" t="s">
        <v>347</v>
      </c>
      <c r="D122">
        <v>60</v>
      </c>
      <c r="E122" t="s">
        <v>348</v>
      </c>
      <c r="F122" t="s">
        <v>349</v>
      </c>
      <c r="G122" t="s">
        <v>519</v>
      </c>
      <c r="H122" s="4">
        <v>4.2</v>
      </c>
      <c r="I122" s="5">
        <v>4.4569999999999999</v>
      </c>
      <c r="J122" s="6">
        <v>5.8230000000000004</v>
      </c>
      <c r="K122" s="7">
        <v>4.3730000000000002</v>
      </c>
      <c r="L122" s="6">
        <v>4.569</v>
      </c>
      <c r="M122" s="7">
        <v>4.0410000000000004</v>
      </c>
      <c r="N122" s="6">
        <v>4.1130000000000004</v>
      </c>
      <c r="O122" s="7">
        <v>3.9529999999999998</v>
      </c>
      <c r="P122" s="3">
        <f t="shared" si="7"/>
        <v>4.4755714285714285</v>
      </c>
      <c r="Q122" s="3">
        <f t="shared" si="8"/>
        <v>5.8230000000000004</v>
      </c>
      <c r="R122" s="3">
        <f t="shared" si="9"/>
        <v>3.9529999999999998</v>
      </c>
      <c r="S122" s="3">
        <f t="shared" si="10"/>
        <v>1.8700000000000006</v>
      </c>
      <c r="T122" s="3" cm="1">
        <f t="array" ref="T122">MAX((TRANSPOSE(I122:O122)-I122:O122)/I122:O122)</f>
        <v>0.47305843663040742</v>
      </c>
      <c r="U122" s="3" cm="1">
        <f t="array" ref="U122">MAX((J122:O122-I122:N122)/I122:N122)</f>
        <v>0.30648418218532658</v>
      </c>
      <c r="V122" s="3" cm="1">
        <f t="array" ref="V122">MIN((TRANSPOSE(I122:O122)-I122:O122)/I122:O122)</f>
        <v>-0.3211403056843552</v>
      </c>
      <c r="W122" s="3" cm="1">
        <f t="array" ref="W122">MIN((J122:O122-I122:N122)/I122:N122)</f>
        <v>-0.24901253649321656</v>
      </c>
      <c r="X122" s="3">
        <v>1.3064841821853266</v>
      </c>
      <c r="Y122" s="3">
        <v>0.98115324209109278</v>
      </c>
      <c r="Z122" s="3">
        <v>1.0251290105452098</v>
      </c>
      <c r="AA122" s="3">
        <v>0.90666367511779233</v>
      </c>
      <c r="AB122" s="3">
        <v>0.92281803903971293</v>
      </c>
      <c r="AC122" s="3">
        <f t="shared" si="11"/>
        <v>0.88691945254655602</v>
      </c>
    </row>
    <row r="123" spans="1:29" x14ac:dyDescent="0.3">
      <c r="A123">
        <v>1</v>
      </c>
      <c r="B123" t="s">
        <v>35</v>
      </c>
      <c r="C123" t="s">
        <v>350</v>
      </c>
      <c r="D123">
        <v>17</v>
      </c>
      <c r="E123" t="s">
        <v>113</v>
      </c>
      <c r="F123" t="s">
        <v>351</v>
      </c>
      <c r="G123" t="s">
        <v>519</v>
      </c>
      <c r="H123" s="4">
        <v>4.5999999999999996</v>
      </c>
      <c r="I123" s="5">
        <v>4.4569999999999999</v>
      </c>
      <c r="J123" s="6">
        <v>4.343</v>
      </c>
      <c r="K123" s="7">
        <v>4.5599999999999996</v>
      </c>
      <c r="L123" s="6">
        <v>3.7829999999999999</v>
      </c>
      <c r="M123" s="7">
        <v>4.4610000000000003</v>
      </c>
      <c r="N123" s="6">
        <v>3.7309999999999999</v>
      </c>
      <c r="O123" s="7">
        <v>4.6829999999999998</v>
      </c>
      <c r="P123" s="3">
        <f t="shared" si="7"/>
        <v>4.2882857142857143</v>
      </c>
      <c r="Q123" s="3">
        <f t="shared" si="8"/>
        <v>4.6829999999999998</v>
      </c>
      <c r="R123" s="3">
        <f t="shared" si="9"/>
        <v>3.7309999999999999</v>
      </c>
      <c r="S123" s="3">
        <f t="shared" si="10"/>
        <v>0.95199999999999996</v>
      </c>
      <c r="T123" s="3" cm="1">
        <f t="array" ref="T123">MAX((TRANSPOSE(I123:O123)-I123:O123)/I123:O123)</f>
        <v>0.25515947467166977</v>
      </c>
      <c r="U123" s="3" cm="1">
        <f t="array" ref="U123">MAX((J123:O123-I123:N123)/I123:N123)</f>
        <v>0.25515947467166977</v>
      </c>
      <c r="V123" s="3" cm="1">
        <f t="array" ref="V123">MIN((TRANSPOSE(I123:O123)-I123:O123)/I123:O123)</f>
        <v>-0.20328849028400597</v>
      </c>
      <c r="W123" s="3" cm="1">
        <f t="array" ref="W123">MIN((J123:O123-I123:N123)/I123:N123)</f>
        <v>-0.17039473684210521</v>
      </c>
      <c r="X123" s="3">
        <v>0.97442225712362573</v>
      </c>
      <c r="Y123" s="3">
        <v>1.0231097150549697</v>
      </c>
      <c r="Z123" s="3">
        <v>0.84877720439757687</v>
      </c>
      <c r="AA123" s="3">
        <v>1.000897464662329</v>
      </c>
      <c r="AB123" s="3">
        <v>0.83711016378730085</v>
      </c>
      <c r="AC123" s="3">
        <f t="shared" si="11"/>
        <v>1.0507067534215839</v>
      </c>
    </row>
    <row r="124" spans="1:29" x14ac:dyDescent="0.3">
      <c r="A124">
        <v>2</v>
      </c>
      <c r="B124" t="s">
        <v>25</v>
      </c>
      <c r="C124" t="s">
        <v>352</v>
      </c>
      <c r="D124">
        <v>74</v>
      </c>
      <c r="E124" t="s">
        <v>353</v>
      </c>
      <c r="F124" t="s">
        <v>354</v>
      </c>
      <c r="G124" t="s">
        <v>519</v>
      </c>
      <c r="H124" s="4">
        <v>7.1</v>
      </c>
      <c r="I124" s="5">
        <v>9.1</v>
      </c>
      <c r="J124" s="6">
        <v>6.048</v>
      </c>
      <c r="K124" s="7">
        <v>6.6189999999999998</v>
      </c>
      <c r="L124" s="6">
        <v>7.2249999999999996</v>
      </c>
      <c r="M124" s="7">
        <v>6.3650000000000002</v>
      </c>
      <c r="N124" s="6">
        <v>6.4889999999999999</v>
      </c>
      <c r="O124" s="7">
        <v>5.5650000000000004</v>
      </c>
      <c r="P124" s="3">
        <f t="shared" si="7"/>
        <v>6.7729999999999988</v>
      </c>
      <c r="Q124" s="3">
        <f t="shared" si="8"/>
        <v>9.1</v>
      </c>
      <c r="R124" s="3">
        <f t="shared" si="9"/>
        <v>5.5650000000000004</v>
      </c>
      <c r="S124" s="3">
        <f t="shared" si="10"/>
        <v>3.5349999999999993</v>
      </c>
      <c r="T124" s="3" cm="1">
        <f t="array" ref="T124">MAX((TRANSPOSE(I124:O124)-I124:O124)/I124:O124)</f>
        <v>0.63522012578616338</v>
      </c>
      <c r="U124" s="3" cm="1">
        <f t="array" ref="U124">MAX((J124:O124-I124:N124)/I124:N124)</f>
        <v>9.4411375661375613E-2</v>
      </c>
      <c r="V124" s="3" cm="1">
        <f t="array" ref="V124">MIN((TRANSPOSE(I124:O124)-I124:O124)/I124:O124)</f>
        <v>-0.38846153846153841</v>
      </c>
      <c r="W124" s="3" cm="1">
        <f t="array" ref="W124">MIN((J124:O124-I124:N124)/I124:N124)</f>
        <v>-0.33538461538461534</v>
      </c>
      <c r="X124" s="3">
        <v>0.66461538461538461</v>
      </c>
      <c r="Y124" s="3">
        <v>0.7273626373626374</v>
      </c>
      <c r="Z124" s="3">
        <v>0.79395604395604391</v>
      </c>
      <c r="AA124" s="3">
        <v>0.69945054945054952</v>
      </c>
      <c r="AB124" s="3">
        <v>0.71307692307692305</v>
      </c>
      <c r="AC124" s="3">
        <f t="shared" si="11"/>
        <v>0.61153846153846159</v>
      </c>
    </row>
    <row r="125" spans="1:29" x14ac:dyDescent="0.3">
      <c r="A125">
        <v>2</v>
      </c>
      <c r="B125" t="s">
        <v>25</v>
      </c>
      <c r="C125" t="s">
        <v>355</v>
      </c>
      <c r="D125">
        <v>117</v>
      </c>
      <c r="E125" t="s">
        <v>356</v>
      </c>
      <c r="F125" t="s">
        <v>357</v>
      </c>
      <c r="G125" t="s">
        <v>519</v>
      </c>
      <c r="H125" s="4">
        <v>7.2</v>
      </c>
      <c r="I125" s="5">
        <v>10.3</v>
      </c>
      <c r="J125" s="6">
        <v>9.1940000000000008</v>
      </c>
      <c r="K125" s="7">
        <v>7.8570000000000002</v>
      </c>
      <c r="L125" s="6">
        <v>7.0140000000000002</v>
      </c>
      <c r="M125" s="7">
        <v>6.6029999999999998</v>
      </c>
      <c r="N125" s="6">
        <v>6.694</v>
      </c>
      <c r="O125" s="7">
        <v>7.3849999999999998</v>
      </c>
      <c r="P125" s="3">
        <f t="shared" si="7"/>
        <v>7.8638571428571433</v>
      </c>
      <c r="Q125" s="3">
        <f t="shared" si="8"/>
        <v>10.3</v>
      </c>
      <c r="R125" s="3">
        <f t="shared" si="9"/>
        <v>6.6029999999999998</v>
      </c>
      <c r="S125" s="3">
        <f t="shared" si="10"/>
        <v>3.697000000000001</v>
      </c>
      <c r="T125" s="3" cm="1">
        <f t="array" ref="T125">MAX((TRANSPOSE(I125:O125)-I125:O125)/I125:O125)</f>
        <v>0.55989701650764823</v>
      </c>
      <c r="U125" s="3" cm="1">
        <f t="array" ref="U125">MAX((J125:O125-I125:N125)/I125:N125)</f>
        <v>0.10322677024200774</v>
      </c>
      <c r="V125" s="3" cm="1">
        <f t="array" ref="V125">MIN((TRANSPOSE(I125:O125)-I125:O125)/I125:O125)</f>
        <v>-0.35893203883495151</v>
      </c>
      <c r="W125" s="3" cm="1">
        <f t="array" ref="W125">MIN((J125:O125-I125:N125)/I125:N125)</f>
        <v>-0.14542092669132048</v>
      </c>
      <c r="X125" s="3">
        <v>0.89262135922330099</v>
      </c>
      <c r="Y125" s="3">
        <v>0.76281553398058244</v>
      </c>
      <c r="Z125" s="3">
        <v>0.68097087378640775</v>
      </c>
      <c r="AA125" s="3">
        <v>0.64106796116504849</v>
      </c>
      <c r="AB125" s="3">
        <v>0.64990291262135913</v>
      </c>
      <c r="AC125" s="3">
        <f t="shared" si="11"/>
        <v>0.71699029126213587</v>
      </c>
    </row>
    <row r="126" spans="1:29" x14ac:dyDescent="0.3">
      <c r="A126">
        <v>3</v>
      </c>
      <c r="B126" t="s">
        <v>21</v>
      </c>
      <c r="C126" t="s">
        <v>358</v>
      </c>
      <c r="D126">
        <v>38</v>
      </c>
      <c r="E126" t="s">
        <v>91</v>
      </c>
      <c r="F126" t="s">
        <v>359</v>
      </c>
      <c r="G126" t="s">
        <v>519</v>
      </c>
      <c r="H126" s="4">
        <v>7.3</v>
      </c>
      <c r="I126" s="5">
        <v>4.3959999999999999</v>
      </c>
      <c r="J126" s="6">
        <v>7.3959999999999999</v>
      </c>
      <c r="K126" s="7">
        <v>5.6289999999999996</v>
      </c>
      <c r="L126" s="6">
        <v>7.4349999999999996</v>
      </c>
      <c r="M126" s="7">
        <v>5.1760000000000002</v>
      </c>
      <c r="N126" s="6">
        <v>5.8760000000000003</v>
      </c>
      <c r="O126" s="7">
        <v>6.8390000000000004</v>
      </c>
      <c r="P126" s="3">
        <f t="shared" si="7"/>
        <v>6.1067142857142844</v>
      </c>
      <c r="Q126" s="3">
        <f t="shared" si="8"/>
        <v>7.4349999999999996</v>
      </c>
      <c r="R126" s="3">
        <f t="shared" si="9"/>
        <v>4.3959999999999999</v>
      </c>
      <c r="S126" s="3">
        <f t="shared" si="10"/>
        <v>3.0389999999999997</v>
      </c>
      <c r="T126" s="3" cm="1">
        <f t="array" ref="T126">MAX((TRANSPOSE(I126:O126)-I126:O126)/I126:O126)</f>
        <v>0.6913102820746132</v>
      </c>
      <c r="U126" s="3" cm="1">
        <f t="array" ref="U126">MAX((J126:O126-I126:N126)/I126:N126)</f>
        <v>0.68243858052775253</v>
      </c>
      <c r="V126" s="3" cm="1">
        <f t="array" ref="V126">MIN((TRANSPOSE(I126:O126)-I126:O126)/I126:O126)</f>
        <v>-0.40874243443174174</v>
      </c>
      <c r="W126" s="3" cm="1">
        <f t="array" ref="W126">MIN((J126:O126-I126:N126)/I126:N126)</f>
        <v>-0.30383322125084056</v>
      </c>
      <c r="X126" s="3">
        <v>1.6824385805277524</v>
      </c>
      <c r="Y126" s="3">
        <v>1.2804822565969063</v>
      </c>
      <c r="Z126" s="3">
        <v>1.6913102820746133</v>
      </c>
      <c r="AA126" s="3">
        <v>1.1774340309372158</v>
      </c>
      <c r="AB126" s="3">
        <v>1.3366696997270247</v>
      </c>
      <c r="AC126" s="3">
        <f t="shared" si="11"/>
        <v>1.5557324840764333</v>
      </c>
    </row>
    <row r="127" spans="1:29" x14ac:dyDescent="0.3">
      <c r="A127">
        <v>1</v>
      </c>
      <c r="B127" t="s">
        <v>35</v>
      </c>
      <c r="C127" t="s">
        <v>360</v>
      </c>
      <c r="D127">
        <v>20</v>
      </c>
      <c r="E127" t="s">
        <v>294</v>
      </c>
      <c r="F127" t="s">
        <v>361</v>
      </c>
      <c r="G127" t="s">
        <v>519</v>
      </c>
      <c r="H127" s="4">
        <v>7.7</v>
      </c>
      <c r="I127" s="5">
        <v>4.6390000000000002</v>
      </c>
      <c r="J127" s="6">
        <v>6.9470000000000001</v>
      </c>
      <c r="K127" s="7">
        <v>5.3810000000000002</v>
      </c>
      <c r="L127" s="6">
        <v>7.4349999999999996</v>
      </c>
      <c r="M127" s="7">
        <v>7.3170000000000002</v>
      </c>
      <c r="N127" s="6">
        <v>7.3070000000000004</v>
      </c>
      <c r="O127" s="7">
        <v>7.0209999999999999</v>
      </c>
      <c r="P127" s="3">
        <f t="shared" si="7"/>
        <v>6.5781428571428568</v>
      </c>
      <c r="Q127" s="3">
        <f t="shared" si="8"/>
        <v>7.4349999999999996</v>
      </c>
      <c r="R127" s="3">
        <f t="shared" si="9"/>
        <v>4.6390000000000002</v>
      </c>
      <c r="S127" s="3">
        <f t="shared" si="10"/>
        <v>2.7959999999999994</v>
      </c>
      <c r="T127" s="3" cm="1">
        <f t="array" ref="T127">MAX((TRANSPOSE(I127:O127)-I127:O127)/I127:O127)</f>
        <v>0.60271610260832065</v>
      </c>
      <c r="U127" s="3" cm="1">
        <f t="array" ref="U127">MAX((J127:O127-I127:N127)/I127:N127)</f>
        <v>0.49752101746065958</v>
      </c>
      <c r="V127" s="3" cm="1">
        <f t="array" ref="V127">MIN((TRANSPOSE(I127:O127)-I127:O127)/I127:O127)</f>
        <v>-0.37605917955615326</v>
      </c>
      <c r="W127" s="3" cm="1">
        <f t="array" ref="W127">MIN((J127:O127-I127:N127)/I127:N127)</f>
        <v>-0.22542104505541957</v>
      </c>
      <c r="X127" s="3">
        <v>1.4975210174606595</v>
      </c>
      <c r="Y127" s="3">
        <v>1.1599482647122223</v>
      </c>
      <c r="Z127" s="3">
        <v>1.6027161026083205</v>
      </c>
      <c r="AA127" s="3">
        <v>1.5772795861176978</v>
      </c>
      <c r="AB127" s="3">
        <v>1.5751239491269671</v>
      </c>
      <c r="AC127" s="3">
        <f t="shared" si="11"/>
        <v>1.5134727311920673</v>
      </c>
    </row>
    <row r="128" spans="1:29" x14ac:dyDescent="0.3">
      <c r="A128">
        <v>1</v>
      </c>
      <c r="B128" t="s">
        <v>35</v>
      </c>
      <c r="C128" t="s">
        <v>362</v>
      </c>
      <c r="D128">
        <v>19</v>
      </c>
      <c r="E128" t="s">
        <v>201</v>
      </c>
      <c r="F128" t="s">
        <v>363</v>
      </c>
      <c r="G128" t="s">
        <v>519</v>
      </c>
      <c r="H128" s="4">
        <v>4.0999999999999996</v>
      </c>
      <c r="I128" s="5">
        <v>2.4489999999999998</v>
      </c>
      <c r="J128" s="6">
        <v>3.556</v>
      </c>
      <c r="K128" s="7">
        <v>3.3149999999999999</v>
      </c>
      <c r="L128" s="6">
        <v>4.5030000000000001</v>
      </c>
      <c r="M128" s="7">
        <v>3.383</v>
      </c>
      <c r="N128" s="6">
        <v>4.1760000000000002</v>
      </c>
      <c r="O128" s="7">
        <v>3.8860000000000001</v>
      </c>
      <c r="P128" s="3">
        <f t="shared" si="7"/>
        <v>3.6097142857142854</v>
      </c>
      <c r="Q128" s="3">
        <f t="shared" si="8"/>
        <v>4.5030000000000001</v>
      </c>
      <c r="R128" s="3">
        <f t="shared" si="9"/>
        <v>2.4489999999999998</v>
      </c>
      <c r="S128" s="3">
        <f t="shared" si="10"/>
        <v>2.0540000000000003</v>
      </c>
      <c r="T128" s="3" cm="1">
        <f t="array" ref="T128">MAX((TRANSPOSE(I128:O128)-I128:O128)/I128:O128)</f>
        <v>0.83870967741935498</v>
      </c>
      <c r="U128" s="3" cm="1">
        <f t="array" ref="U128">MAX((J128:O128-I128:N128)/I128:N128)</f>
        <v>0.45202123315639048</v>
      </c>
      <c r="V128" s="3" cm="1">
        <f t="array" ref="V128">MIN((TRANSPOSE(I128:O128)-I128:O128)/I128:O128)</f>
        <v>-0.45614035087719301</v>
      </c>
      <c r="W128" s="3" cm="1">
        <f t="array" ref="W128">MIN((J128:O128-I128:N128)/I128:N128)</f>
        <v>-0.24872307350655121</v>
      </c>
      <c r="X128" s="3">
        <v>1.4520212331563904</v>
      </c>
      <c r="Y128" s="3">
        <v>1.3536137198856677</v>
      </c>
      <c r="Z128" s="3">
        <v>1.838709677419355</v>
      </c>
      <c r="AA128" s="3">
        <v>1.3813801551653737</v>
      </c>
      <c r="AB128" s="3">
        <v>1.7051857901184158</v>
      </c>
      <c r="AC128" s="3">
        <f t="shared" si="11"/>
        <v>1.5867701102490814</v>
      </c>
    </row>
    <row r="129" spans="1:29" x14ac:dyDescent="0.3">
      <c r="A129">
        <v>2</v>
      </c>
      <c r="B129" t="s">
        <v>25</v>
      </c>
      <c r="C129" t="s">
        <v>364</v>
      </c>
      <c r="D129">
        <v>18</v>
      </c>
      <c r="E129" t="s">
        <v>153</v>
      </c>
      <c r="F129" t="s">
        <v>365</v>
      </c>
      <c r="G129" t="s">
        <v>519</v>
      </c>
      <c r="H129" s="4">
        <v>2.9</v>
      </c>
      <c r="I129" s="5">
        <v>2.3879999999999999</v>
      </c>
      <c r="J129" s="6">
        <v>2.984</v>
      </c>
      <c r="K129" s="7">
        <v>2.7549999999999999</v>
      </c>
      <c r="L129" s="6">
        <v>2.8660000000000001</v>
      </c>
      <c r="M129" s="7">
        <v>2.3650000000000002</v>
      </c>
      <c r="N129" s="6">
        <v>2.7789999999999999</v>
      </c>
      <c r="O129" s="7">
        <v>3.0230000000000001</v>
      </c>
      <c r="P129" s="3">
        <f t="shared" si="7"/>
        <v>2.7371428571428571</v>
      </c>
      <c r="Q129" s="3">
        <f t="shared" si="8"/>
        <v>3.0230000000000001</v>
      </c>
      <c r="R129" s="3">
        <f t="shared" si="9"/>
        <v>2.3650000000000002</v>
      </c>
      <c r="S129" s="3">
        <f t="shared" si="10"/>
        <v>0.65799999999999992</v>
      </c>
      <c r="T129" s="3" cm="1">
        <f t="array" ref="T129">MAX((TRANSPOSE(I129:O129)-I129:O129)/I129:O129)</f>
        <v>0.27822410147991539</v>
      </c>
      <c r="U129" s="3" cm="1">
        <f t="array" ref="U129">MAX((J129:O129-I129:N129)/I129:N129)</f>
        <v>0.24958123953098832</v>
      </c>
      <c r="V129" s="3" cm="1">
        <f t="array" ref="V129">MIN((TRANSPOSE(I129:O129)-I129:O129)/I129:O129)</f>
        <v>-0.21766457161759836</v>
      </c>
      <c r="W129" s="3" cm="1">
        <f t="array" ref="W129">MIN((J129:O129-I129:N129)/I129:N129)</f>
        <v>-0.17480809490579199</v>
      </c>
      <c r="X129" s="3">
        <v>1.2495812395309884</v>
      </c>
      <c r="Y129" s="3">
        <v>1.1536850921273032</v>
      </c>
      <c r="Z129" s="3">
        <v>1.2001675041876048</v>
      </c>
      <c r="AA129" s="3">
        <v>0.99036850921273045</v>
      </c>
      <c r="AB129" s="3">
        <v>1.1637353433835846</v>
      </c>
      <c r="AC129" s="3">
        <f t="shared" si="11"/>
        <v>1.2659128978224456</v>
      </c>
    </row>
    <row r="130" spans="1:29" x14ac:dyDescent="0.3">
      <c r="A130">
        <v>2</v>
      </c>
      <c r="B130" t="s">
        <v>25</v>
      </c>
      <c r="C130" t="s">
        <v>366</v>
      </c>
      <c r="D130">
        <v>44</v>
      </c>
      <c r="E130" t="s">
        <v>46</v>
      </c>
      <c r="F130" t="s">
        <v>367</v>
      </c>
      <c r="G130" t="s">
        <v>519</v>
      </c>
      <c r="H130" s="4">
        <v>17</v>
      </c>
      <c r="I130" s="5">
        <v>4.7</v>
      </c>
      <c r="J130" s="6">
        <v>13.013999999999999</v>
      </c>
      <c r="K130" s="7">
        <v>14.664999999999999</v>
      </c>
      <c r="L130" s="6">
        <v>14.707000000000001</v>
      </c>
      <c r="M130" s="7">
        <v>17.591999999999999</v>
      </c>
      <c r="N130" s="6">
        <v>18.695</v>
      </c>
      <c r="O130" s="7">
        <v>18.202999999999999</v>
      </c>
      <c r="P130" s="3">
        <f t="shared" si="7"/>
        <v>14.510857142857143</v>
      </c>
      <c r="Q130" s="3">
        <f t="shared" si="8"/>
        <v>18.695</v>
      </c>
      <c r="R130" s="3">
        <f t="shared" si="9"/>
        <v>4.7</v>
      </c>
      <c r="S130" s="3">
        <f t="shared" si="10"/>
        <v>13.995000000000001</v>
      </c>
      <c r="T130" s="3" cm="1">
        <f t="array" ref="T130">MAX((TRANSPOSE(I130:O130)-I130:O130)/I130:O130)</f>
        <v>2.9776595744680852</v>
      </c>
      <c r="U130" s="3" cm="1">
        <f t="array" ref="U130">MAX((J130:O130-I130:N130)/I130:N130)</f>
        <v>1.7689361702127659</v>
      </c>
      <c r="V130" s="3" cm="1">
        <f t="array" ref="V130">MIN((TRANSPOSE(I130:O130)-I130:O130)/I130:O130)</f>
        <v>-0.74859588125167165</v>
      </c>
      <c r="W130" s="3" cm="1">
        <f t="array" ref="W130">MIN((J130:O130-I130:N130)/I130:N130)</f>
        <v>-2.6317197111527194E-2</v>
      </c>
      <c r="X130" s="3">
        <v>2.7689361702127657</v>
      </c>
      <c r="Y130" s="3">
        <v>3.1202127659574463</v>
      </c>
      <c r="Z130" s="3">
        <v>3.1291489361702127</v>
      </c>
      <c r="AA130" s="3">
        <v>3.7429787234042551</v>
      </c>
      <c r="AB130" s="3">
        <v>3.9776595744680852</v>
      </c>
      <c r="AC130" s="3">
        <f t="shared" ref="AC130:AC161" si="12">O130/I130</f>
        <v>3.872978723404255</v>
      </c>
    </row>
    <row r="131" spans="1:29" x14ac:dyDescent="0.3">
      <c r="A131">
        <v>2</v>
      </c>
      <c r="B131" t="s">
        <v>25</v>
      </c>
      <c r="C131" t="s">
        <v>368</v>
      </c>
      <c r="D131">
        <v>56</v>
      </c>
      <c r="E131" t="s">
        <v>172</v>
      </c>
      <c r="F131" t="s">
        <v>369</v>
      </c>
      <c r="G131" t="s">
        <v>519</v>
      </c>
      <c r="H131" s="4">
        <v>3.9</v>
      </c>
      <c r="I131" s="5">
        <v>1.7190000000000001</v>
      </c>
      <c r="J131" s="6">
        <v>2.556</v>
      </c>
      <c r="K131" s="7">
        <v>3.6880000000000002</v>
      </c>
      <c r="L131" s="6">
        <v>3.5859999999999999</v>
      </c>
      <c r="M131" s="7">
        <v>3.5030000000000001</v>
      </c>
      <c r="N131" s="6">
        <v>3.16</v>
      </c>
      <c r="O131" s="7">
        <v>3.5539999999999998</v>
      </c>
      <c r="P131" s="3">
        <f t="shared" ref="P131:P190" si="13">AVERAGE(I131:O131)</f>
        <v>3.1094285714285719</v>
      </c>
      <c r="Q131" s="3">
        <f t="shared" ref="Q131:Q190" si="14">MAX(I131:O131)</f>
        <v>3.6880000000000002</v>
      </c>
      <c r="R131" s="3">
        <f t="shared" ref="R131:R190" si="15">MIN(I131:O131)</f>
        <v>1.7190000000000001</v>
      </c>
      <c r="S131" s="3">
        <f t="shared" ref="S131:S190" si="16">Q131-R131</f>
        <v>1.9690000000000001</v>
      </c>
      <c r="T131" s="3" cm="1">
        <f t="array" ref="T131">MAX((TRANSPOSE(I131:O131)-I131:O131)/I131:O131)</f>
        <v>1.1454333915066899</v>
      </c>
      <c r="U131" s="3" cm="1">
        <f t="array" ref="U131">MAX((J131:O131-I131:N131)/I131:N131)</f>
        <v>0.48691099476439786</v>
      </c>
      <c r="V131" s="3" cm="1">
        <f t="array" ref="V131">MIN((TRANSPOSE(I131:O131)-I131:O131)/I131:O131)</f>
        <v>-0.53389370932754876</v>
      </c>
      <c r="W131" s="3" cm="1">
        <f t="array" ref="W131">MIN((J131:O131-I131:N131)/I131:N131)</f>
        <v>-9.7916071938338553E-2</v>
      </c>
      <c r="X131" s="3">
        <v>1.4869109947643979</v>
      </c>
      <c r="Y131" s="3">
        <v>2.1454333915066899</v>
      </c>
      <c r="Z131" s="3">
        <v>2.0860965677719601</v>
      </c>
      <c r="AA131" s="3">
        <v>2.0378126817917392</v>
      </c>
      <c r="AB131" s="3">
        <v>1.8382780686445608</v>
      </c>
      <c r="AC131" s="3">
        <f t="shared" si="12"/>
        <v>2.0674810936591039</v>
      </c>
    </row>
    <row r="132" spans="1:29" x14ac:dyDescent="0.3">
      <c r="A132">
        <v>2</v>
      </c>
      <c r="B132" t="s">
        <v>25</v>
      </c>
      <c r="C132" t="s">
        <v>370</v>
      </c>
      <c r="D132">
        <v>69</v>
      </c>
      <c r="E132" t="s">
        <v>371</v>
      </c>
      <c r="F132" t="s">
        <v>372</v>
      </c>
      <c r="G132" t="s">
        <v>519</v>
      </c>
      <c r="H132" s="4">
        <v>4.5</v>
      </c>
      <c r="I132" s="5">
        <v>3.8479999999999999</v>
      </c>
      <c r="J132" s="6">
        <v>3.9140000000000001</v>
      </c>
      <c r="K132" s="7">
        <v>4</v>
      </c>
      <c r="L132" s="6">
        <v>4.6340000000000003</v>
      </c>
      <c r="M132" s="7">
        <v>4.0410000000000004</v>
      </c>
      <c r="N132" s="6">
        <v>4.43</v>
      </c>
      <c r="O132" s="7">
        <v>4.2850000000000001</v>
      </c>
      <c r="P132" s="3">
        <f t="shared" si="13"/>
        <v>4.1645714285714286</v>
      </c>
      <c r="Q132" s="3">
        <f t="shared" si="14"/>
        <v>4.6340000000000003</v>
      </c>
      <c r="R132" s="3">
        <f t="shared" si="15"/>
        <v>3.8479999999999999</v>
      </c>
      <c r="S132" s="3">
        <f t="shared" si="16"/>
        <v>0.78600000000000048</v>
      </c>
      <c r="T132" s="3" cm="1">
        <f t="array" ref="T132">MAX((TRANSPOSE(I132:O132)-I132:O132)/I132:O132)</f>
        <v>0.2042619542619544</v>
      </c>
      <c r="U132" s="3" cm="1">
        <f t="array" ref="U132">MAX((J132:O132-I132:N132)/I132:N132)</f>
        <v>0.15850000000000009</v>
      </c>
      <c r="V132" s="3" cm="1">
        <f t="array" ref="V132">MIN((TRANSPOSE(I132:O132)-I132:O132)/I132:O132)</f>
        <v>-0.16961588260681926</v>
      </c>
      <c r="W132" s="3" cm="1">
        <f t="array" ref="W132">MIN((J132:O132-I132:N132)/I132:N132)</f>
        <v>-0.1279671989641778</v>
      </c>
      <c r="X132" s="3">
        <v>1.0171517671517671</v>
      </c>
      <c r="Y132" s="3">
        <v>1.0395010395010396</v>
      </c>
      <c r="Z132" s="3">
        <v>1.2042619542619544</v>
      </c>
      <c r="AA132" s="3">
        <v>1.0501559251559254</v>
      </c>
      <c r="AB132" s="3">
        <v>1.1512474012474012</v>
      </c>
      <c r="AC132" s="3">
        <f t="shared" si="12"/>
        <v>1.1135654885654886</v>
      </c>
    </row>
    <row r="133" spans="1:29" x14ac:dyDescent="0.3">
      <c r="A133">
        <v>2</v>
      </c>
      <c r="B133" t="s">
        <v>25</v>
      </c>
      <c r="C133" t="s">
        <v>373</v>
      </c>
      <c r="D133">
        <v>92</v>
      </c>
      <c r="E133" t="s">
        <v>374</v>
      </c>
      <c r="F133" t="s">
        <v>375</v>
      </c>
      <c r="G133" t="s">
        <v>519</v>
      </c>
      <c r="H133" s="4">
        <v>2.6</v>
      </c>
      <c r="I133" s="5">
        <v>2.5710000000000002</v>
      </c>
      <c r="J133" s="6">
        <v>2.484</v>
      </c>
      <c r="K133" s="7">
        <v>2.5059999999999998</v>
      </c>
      <c r="L133" s="6">
        <v>2.407</v>
      </c>
      <c r="M133" s="7">
        <v>2.7240000000000002</v>
      </c>
      <c r="N133" s="6">
        <v>2.2709999999999999</v>
      </c>
      <c r="O133" s="7">
        <v>2.093</v>
      </c>
      <c r="P133" s="3">
        <f t="shared" si="13"/>
        <v>2.4365714285714288</v>
      </c>
      <c r="Q133" s="3">
        <f t="shared" si="14"/>
        <v>2.7240000000000002</v>
      </c>
      <c r="R133" s="3">
        <f t="shared" si="15"/>
        <v>2.093</v>
      </c>
      <c r="S133" s="3">
        <f t="shared" si="16"/>
        <v>0.63100000000000023</v>
      </c>
      <c r="T133" s="3" cm="1">
        <f t="array" ref="T133">MAX((TRANSPOSE(I133:O133)-I133:O133)/I133:O133)</f>
        <v>0.30148112756808421</v>
      </c>
      <c r="U133" s="3" cm="1">
        <f t="array" ref="U133">MAX((J133:O133-I133:N133)/I133:N133)</f>
        <v>0.1316992106356461</v>
      </c>
      <c r="V133" s="3" cm="1">
        <f t="array" ref="V133">MIN((TRANSPOSE(I133:O133)-I133:O133)/I133:O133)</f>
        <v>-0.23164464023494868</v>
      </c>
      <c r="W133" s="3" cm="1">
        <f t="array" ref="W133">MIN((J133:O133-I133:N133)/I133:N133)</f>
        <v>-0.16629955947136574</v>
      </c>
      <c r="X133" s="3">
        <v>0.96616102683780625</v>
      </c>
      <c r="Y133" s="3">
        <v>0.97471800855698154</v>
      </c>
      <c r="Z133" s="3">
        <v>0.93621159082069227</v>
      </c>
      <c r="AA133" s="3">
        <v>1.0595099183197199</v>
      </c>
      <c r="AB133" s="3">
        <v>0.88331388564760782</v>
      </c>
      <c r="AC133" s="3">
        <f t="shared" si="12"/>
        <v>0.81408012446518863</v>
      </c>
    </row>
    <row r="134" spans="1:29" x14ac:dyDescent="0.3">
      <c r="A134">
        <v>2</v>
      </c>
      <c r="B134" t="s">
        <v>25</v>
      </c>
      <c r="C134" t="s">
        <v>376</v>
      </c>
      <c r="D134">
        <v>97</v>
      </c>
      <c r="E134" t="s">
        <v>377</v>
      </c>
      <c r="F134" t="s">
        <v>378</v>
      </c>
      <c r="G134" t="s">
        <v>519</v>
      </c>
      <c r="H134" s="4">
        <v>3</v>
      </c>
      <c r="I134" s="5">
        <v>2.6309999999999998</v>
      </c>
      <c r="J134" s="6">
        <v>2.3410000000000002</v>
      </c>
      <c r="K134" s="7">
        <v>2.5680000000000001</v>
      </c>
      <c r="L134" s="6">
        <v>2.669</v>
      </c>
      <c r="M134" s="7">
        <v>2.4849999999999999</v>
      </c>
      <c r="N134" s="6">
        <v>2.5880000000000001</v>
      </c>
      <c r="O134" s="7">
        <v>2.823</v>
      </c>
      <c r="P134" s="3">
        <f t="shared" si="13"/>
        <v>2.5864285714285713</v>
      </c>
      <c r="Q134" s="3">
        <f t="shared" si="14"/>
        <v>2.823</v>
      </c>
      <c r="R134" s="3">
        <f t="shared" si="15"/>
        <v>2.3410000000000002</v>
      </c>
      <c r="S134" s="3">
        <f t="shared" si="16"/>
        <v>0.48199999999999976</v>
      </c>
      <c r="T134" s="3" cm="1">
        <f t="array" ref="T134">MAX((TRANSPOSE(I134:O134)-I134:O134)/I134:O134)</f>
        <v>0.20589491670226387</v>
      </c>
      <c r="U134" s="3" cm="1">
        <f t="array" ref="U134">MAX((J134:O134-I134:N134)/I134:N134)</f>
        <v>9.6967108073472807E-2</v>
      </c>
      <c r="V134" s="3" cm="1">
        <f t="array" ref="V134">MIN((TRANSPOSE(I134:O134)-I134:O134)/I134:O134)</f>
        <v>-0.17074034714842359</v>
      </c>
      <c r="W134" s="3" cm="1">
        <f t="array" ref="W134">MIN((J134:O134-I134:N134)/I134:N134)</f>
        <v>-0.11022424933485352</v>
      </c>
      <c r="X134" s="3">
        <v>0.88977575066514647</v>
      </c>
      <c r="Y134" s="3">
        <v>0.97605473204104909</v>
      </c>
      <c r="Z134" s="3">
        <v>1.0144431774990499</v>
      </c>
      <c r="AA134" s="3">
        <v>0.9445077917141772</v>
      </c>
      <c r="AB134" s="3">
        <v>0.98365640440897006</v>
      </c>
      <c r="AC134" s="3">
        <f t="shared" si="12"/>
        <v>1.0729760547320411</v>
      </c>
    </row>
    <row r="135" spans="1:29" x14ac:dyDescent="0.3">
      <c r="A135">
        <v>2</v>
      </c>
      <c r="B135" t="s">
        <v>25</v>
      </c>
      <c r="C135" t="s">
        <v>379</v>
      </c>
      <c r="D135">
        <v>118</v>
      </c>
      <c r="E135" t="s">
        <v>380</v>
      </c>
      <c r="F135" t="s">
        <v>381</v>
      </c>
      <c r="G135" t="s">
        <v>519</v>
      </c>
      <c r="H135" s="4">
        <v>4.7</v>
      </c>
      <c r="I135" s="5">
        <v>3.7269999999999999</v>
      </c>
      <c r="J135" s="6">
        <v>4.9249999999999998</v>
      </c>
      <c r="K135" s="7">
        <v>4.4349999999999996</v>
      </c>
      <c r="L135" s="6">
        <v>4.91</v>
      </c>
      <c r="M135" s="7">
        <v>4.4009999999999998</v>
      </c>
      <c r="N135" s="6">
        <v>4.6840000000000002</v>
      </c>
      <c r="O135" s="7">
        <v>4.351</v>
      </c>
      <c r="P135" s="3">
        <f t="shared" si="13"/>
        <v>4.4904285714285717</v>
      </c>
      <c r="Q135" s="3">
        <f t="shared" si="14"/>
        <v>4.9249999999999998</v>
      </c>
      <c r="R135" s="3">
        <f t="shared" si="15"/>
        <v>3.7269999999999999</v>
      </c>
      <c r="S135" s="3">
        <f t="shared" si="16"/>
        <v>1.198</v>
      </c>
      <c r="T135" s="3" cm="1">
        <f t="array" ref="T135">MAX((TRANSPOSE(I135:O135)-I135:O135)/I135:O135)</f>
        <v>0.32143815401126913</v>
      </c>
      <c r="U135" s="3" cm="1">
        <f t="array" ref="U135">MAX((J135:O135-I135:N135)/I135:N135)</f>
        <v>0.32143815401126913</v>
      </c>
      <c r="V135" s="3" cm="1">
        <f t="array" ref="V135">MIN((TRANSPOSE(I135:O135)-I135:O135)/I135:O135)</f>
        <v>-0.243248730964467</v>
      </c>
      <c r="W135" s="3" cm="1">
        <f t="array" ref="W135">MIN((J135:O135-I135:N135)/I135:N135)</f>
        <v>-0.1036659877800408</v>
      </c>
      <c r="X135" s="3">
        <v>1.3214381540112692</v>
      </c>
      <c r="Y135" s="3">
        <v>1.1899651193989804</v>
      </c>
      <c r="Z135" s="3">
        <v>1.31741346927824</v>
      </c>
      <c r="AA135" s="3">
        <v>1.1808425006707808</v>
      </c>
      <c r="AB135" s="3">
        <v>1.2567748859672661</v>
      </c>
      <c r="AC135" s="3">
        <f t="shared" si="12"/>
        <v>1.1674268848940166</v>
      </c>
    </row>
    <row r="136" spans="1:29" x14ac:dyDescent="0.3">
      <c r="A136">
        <v>3</v>
      </c>
      <c r="B136" t="s">
        <v>21</v>
      </c>
      <c r="C136" t="s">
        <v>382</v>
      </c>
      <c r="D136">
        <v>41</v>
      </c>
      <c r="E136" t="s">
        <v>118</v>
      </c>
      <c r="F136" t="s">
        <v>383</v>
      </c>
      <c r="G136" t="s">
        <v>519</v>
      </c>
      <c r="H136" s="4">
        <v>19.399999999999999</v>
      </c>
      <c r="I136" s="5">
        <v>32.771999999999998</v>
      </c>
      <c r="J136" s="6">
        <v>23.744</v>
      </c>
      <c r="K136" s="7">
        <v>22.164999999999999</v>
      </c>
      <c r="L136" s="6">
        <v>20.513999999999999</v>
      </c>
      <c r="M136" s="7">
        <v>21.442</v>
      </c>
      <c r="N136" s="6">
        <v>19.536999999999999</v>
      </c>
      <c r="O136" s="7">
        <v>17.234999999999999</v>
      </c>
      <c r="P136" s="3">
        <f t="shared" si="13"/>
        <v>22.486999999999998</v>
      </c>
      <c r="Q136" s="3">
        <f t="shared" si="14"/>
        <v>32.771999999999998</v>
      </c>
      <c r="R136" s="3">
        <f t="shared" si="15"/>
        <v>17.234999999999999</v>
      </c>
      <c r="S136" s="3">
        <f t="shared" si="16"/>
        <v>15.536999999999999</v>
      </c>
      <c r="T136" s="3" cm="1">
        <f t="array" ref="T136">MAX((TRANSPOSE(I136:O136)-I136:O136)/I136:O136)</f>
        <v>0.90147954743254999</v>
      </c>
      <c r="U136" s="3" cm="1">
        <f t="array" ref="U136">MAX((J136:O136-I136:N136)/I136:N136)</f>
        <v>4.5237398849566193E-2</v>
      </c>
      <c r="V136" s="3" cm="1">
        <f t="array" ref="V136">MIN((TRANSPOSE(I136:O136)-I136:O136)/I136:O136)</f>
        <v>-0.47409373855730502</v>
      </c>
      <c r="W136" s="3" cm="1">
        <f t="array" ref="W136">MIN((J136:O136-I136:N136)/I136:N136)</f>
        <v>-0.27547906749664347</v>
      </c>
      <c r="X136" s="3">
        <v>0.72452093250335659</v>
      </c>
      <c r="Y136" s="3">
        <v>0.67633955815940439</v>
      </c>
      <c r="Z136" s="3">
        <v>0.62596118637861586</v>
      </c>
      <c r="AA136" s="3">
        <v>0.65427804223117303</v>
      </c>
      <c r="AB136" s="3">
        <v>0.59614915171487859</v>
      </c>
      <c r="AC136" s="3">
        <f t="shared" si="12"/>
        <v>0.52590626144269503</v>
      </c>
    </row>
    <row r="137" spans="1:29" x14ac:dyDescent="0.3">
      <c r="A137">
        <v>3</v>
      </c>
      <c r="B137" t="s">
        <v>21</v>
      </c>
      <c r="C137" t="s">
        <v>384</v>
      </c>
      <c r="D137">
        <v>59</v>
      </c>
      <c r="E137" t="s">
        <v>326</v>
      </c>
      <c r="F137" t="s">
        <v>385</v>
      </c>
      <c r="G137" t="s">
        <v>519</v>
      </c>
      <c r="H137" s="4">
        <v>3.2</v>
      </c>
      <c r="I137" s="5">
        <v>2.875</v>
      </c>
      <c r="J137" s="6">
        <v>3.4129999999999998</v>
      </c>
      <c r="K137" s="7">
        <v>3.3149999999999999</v>
      </c>
      <c r="L137" s="6">
        <v>3.6520000000000001</v>
      </c>
      <c r="M137" s="7">
        <v>3.2029999999999998</v>
      </c>
      <c r="N137" s="6">
        <v>2.9060000000000001</v>
      </c>
      <c r="O137" s="7">
        <v>2.69</v>
      </c>
      <c r="P137" s="3">
        <f t="shared" si="13"/>
        <v>3.1505714285714284</v>
      </c>
      <c r="Q137" s="3">
        <f t="shared" si="14"/>
        <v>3.6520000000000001</v>
      </c>
      <c r="R137" s="3">
        <f t="shared" si="15"/>
        <v>2.69</v>
      </c>
      <c r="S137" s="3">
        <f t="shared" si="16"/>
        <v>0.96200000000000019</v>
      </c>
      <c r="T137" s="3" cm="1">
        <f t="array" ref="T137">MAX((TRANSPOSE(I137:O137)-I137:O137)/I137:O137)</f>
        <v>0.35762081784386623</v>
      </c>
      <c r="U137" s="3" cm="1">
        <f t="array" ref="U137">MAX((J137:O137-I137:N137)/I137:N137)</f>
        <v>0.18713043478260863</v>
      </c>
      <c r="V137" s="3" cm="1">
        <f t="array" ref="V137">MIN((TRANSPOSE(I137:O137)-I137:O137)/I137:O137)</f>
        <v>-0.26341730558598031</v>
      </c>
      <c r="W137" s="3" cm="1">
        <f t="array" ref="W137">MIN((J137:O137-I137:N137)/I137:N137)</f>
        <v>-0.12294633077765615</v>
      </c>
      <c r="X137" s="3">
        <v>1.1871304347826086</v>
      </c>
      <c r="Y137" s="3">
        <v>1.1530434782608696</v>
      </c>
      <c r="Z137" s="3">
        <v>1.2702608695652173</v>
      </c>
      <c r="AA137" s="3">
        <v>1.1140869565217391</v>
      </c>
      <c r="AB137" s="3">
        <v>1.0107826086956522</v>
      </c>
      <c r="AC137" s="3">
        <f t="shared" si="12"/>
        <v>0.93565217391304345</v>
      </c>
    </row>
    <row r="138" spans="1:29" x14ac:dyDescent="0.3">
      <c r="A138">
        <v>2</v>
      </c>
      <c r="B138" t="s">
        <v>25</v>
      </c>
      <c r="C138" t="s">
        <v>386</v>
      </c>
      <c r="D138">
        <v>38</v>
      </c>
      <c r="E138" t="s">
        <v>91</v>
      </c>
      <c r="F138" t="s">
        <v>387</v>
      </c>
      <c r="G138" t="s">
        <v>519</v>
      </c>
      <c r="H138" s="4">
        <v>9.9</v>
      </c>
      <c r="I138" s="5">
        <v>4.4569999999999999</v>
      </c>
      <c r="J138" s="6">
        <v>6.2729999999999997</v>
      </c>
      <c r="K138" s="7">
        <v>8.6</v>
      </c>
      <c r="L138" s="6">
        <v>9.5389999999999997</v>
      </c>
      <c r="M138" s="7">
        <v>10.172000000000001</v>
      </c>
      <c r="N138" s="6">
        <v>9.9659999999999993</v>
      </c>
      <c r="O138" s="7">
        <v>9.3870000000000005</v>
      </c>
      <c r="P138" s="3">
        <f t="shared" si="13"/>
        <v>8.3420000000000005</v>
      </c>
      <c r="Q138" s="3">
        <f t="shared" si="14"/>
        <v>10.172000000000001</v>
      </c>
      <c r="R138" s="3">
        <f t="shared" si="15"/>
        <v>4.4569999999999999</v>
      </c>
      <c r="S138" s="3">
        <f t="shared" si="16"/>
        <v>5.7150000000000007</v>
      </c>
      <c r="T138" s="3" cm="1">
        <f t="array" ref="T138">MAX((TRANSPOSE(I138:O138)-I138:O138)/I138:O138)</f>
        <v>1.2822526363024458</v>
      </c>
      <c r="U138" s="3" cm="1">
        <f t="array" ref="U138">MAX((J138:O138-I138:N138)/I138:N138)</f>
        <v>0.40744895669733</v>
      </c>
      <c r="V138" s="3" cm="1">
        <f t="array" ref="V138">MIN((TRANSPOSE(I138:O138)-I138:O138)/I138:O138)</f>
        <v>-0.56183641368462445</v>
      </c>
      <c r="W138" s="3" cm="1">
        <f t="array" ref="W138">MIN((J138:O138-I138:N138)/I138:N138)</f>
        <v>-5.8097531607465273E-2</v>
      </c>
      <c r="X138" s="3">
        <v>1.4074489566973301</v>
      </c>
      <c r="Y138" s="3">
        <v>1.9295490240071798</v>
      </c>
      <c r="Z138" s="3">
        <v>2.1402288534888938</v>
      </c>
      <c r="AA138" s="3">
        <v>2.282252636302446</v>
      </c>
      <c r="AB138" s="3">
        <v>2.2360332061925061</v>
      </c>
      <c r="AC138" s="3">
        <f t="shared" si="12"/>
        <v>2.1061251963203951</v>
      </c>
    </row>
    <row r="139" spans="1:29" x14ac:dyDescent="0.3">
      <c r="A139">
        <v>2</v>
      </c>
      <c r="B139" t="s">
        <v>25</v>
      </c>
      <c r="C139" t="s">
        <v>388</v>
      </c>
      <c r="D139">
        <v>6</v>
      </c>
      <c r="E139" t="s">
        <v>389</v>
      </c>
      <c r="F139" t="s">
        <v>390</v>
      </c>
      <c r="G139" t="s">
        <v>519</v>
      </c>
      <c r="H139" s="4">
        <v>11.4</v>
      </c>
      <c r="I139" s="5">
        <v>10.7</v>
      </c>
      <c r="J139" s="6">
        <v>11.89</v>
      </c>
      <c r="K139" s="7">
        <v>9.8379999999999992</v>
      </c>
      <c r="L139" s="6">
        <v>11.643000000000001</v>
      </c>
      <c r="M139" s="7">
        <v>12.074999999999999</v>
      </c>
      <c r="N139" s="6">
        <v>12.215</v>
      </c>
      <c r="O139" s="7">
        <v>11.935</v>
      </c>
      <c r="P139" s="3">
        <f t="shared" si="13"/>
        <v>11.470857142857144</v>
      </c>
      <c r="Q139" s="3">
        <f t="shared" si="14"/>
        <v>12.215</v>
      </c>
      <c r="R139" s="3">
        <f t="shared" si="15"/>
        <v>9.8379999999999992</v>
      </c>
      <c r="S139" s="3">
        <f t="shared" si="16"/>
        <v>2.3770000000000007</v>
      </c>
      <c r="T139" s="3" cm="1">
        <f t="array" ref="T139">MAX((TRANSPOSE(I139:O139)-I139:O139)/I139:O139)</f>
        <v>0.24161414921732069</v>
      </c>
      <c r="U139" s="3" cm="1">
        <f t="array" ref="U139">MAX((J139:O139-I139:N139)/I139:N139)</f>
        <v>0.1834722504574102</v>
      </c>
      <c r="V139" s="3" cm="1">
        <f t="array" ref="V139">MIN((TRANSPOSE(I139:O139)-I139:O139)/I139:O139)</f>
        <v>-0.19459680720425712</v>
      </c>
      <c r="W139" s="3" cm="1">
        <f t="array" ref="W139">MIN((J139:O139-I139:N139)/I139:N139)</f>
        <v>-0.1725820016820859</v>
      </c>
      <c r="X139" s="3">
        <v>1.1112149532710283</v>
      </c>
      <c r="Y139" s="3">
        <v>0.91943925233644863</v>
      </c>
      <c r="Z139" s="3">
        <v>1.0881308411214954</v>
      </c>
      <c r="AA139" s="3">
        <v>1.1285046728971964</v>
      </c>
      <c r="AB139" s="3">
        <v>1.141588785046729</v>
      </c>
      <c r="AC139" s="3">
        <f t="shared" si="12"/>
        <v>1.1154205607476637</v>
      </c>
    </row>
    <row r="140" spans="1:29" x14ac:dyDescent="0.3">
      <c r="A140">
        <v>3</v>
      </c>
      <c r="B140" t="s">
        <v>21</v>
      </c>
      <c r="C140" t="s">
        <v>391</v>
      </c>
      <c r="D140">
        <v>73</v>
      </c>
      <c r="E140" t="s">
        <v>76</v>
      </c>
      <c r="F140" t="s">
        <v>392</v>
      </c>
      <c r="G140" t="s">
        <v>519</v>
      </c>
      <c r="H140" s="4">
        <v>70.900000000000006</v>
      </c>
      <c r="I140" s="5">
        <v>85.840999999999994</v>
      </c>
      <c r="J140" s="6">
        <v>79.981999999999999</v>
      </c>
      <c r="K140" s="7">
        <v>78.102000000000004</v>
      </c>
      <c r="L140" s="6">
        <v>74.662999999999997</v>
      </c>
      <c r="M140" s="7">
        <v>73.013999999999996</v>
      </c>
      <c r="N140" s="6">
        <v>69.504999999999995</v>
      </c>
      <c r="O140" s="7">
        <v>64.099999999999994</v>
      </c>
      <c r="P140" s="3">
        <f t="shared" si="13"/>
        <v>75.02957142857143</v>
      </c>
      <c r="Q140" s="3">
        <f t="shared" si="14"/>
        <v>85.840999999999994</v>
      </c>
      <c r="R140" s="3">
        <f t="shared" si="15"/>
        <v>64.099999999999994</v>
      </c>
      <c r="S140" s="3">
        <f t="shared" si="16"/>
        <v>21.741</v>
      </c>
      <c r="T140" s="3" cm="1">
        <f t="array" ref="T140">MAX((TRANSPOSE(I140:O140)-I140:O140)/I140:O140)</f>
        <v>0.33917316692667709</v>
      </c>
      <c r="U140" s="3" cm="1">
        <f t="array" ref="U140">MAX((J140:O140-I140:N140)/I140:N140)</f>
        <v>-2.2085906004312726E-2</v>
      </c>
      <c r="V140" s="3" cm="1">
        <f t="array" ref="V140">MIN((TRANSPOSE(I140:O140)-I140:O140)/I140:O140)</f>
        <v>-0.25327058165678407</v>
      </c>
      <c r="W140" s="3" cm="1">
        <f t="array" ref="W140">MIN((J140:O140-I140:N140)/I140:N140)</f>
        <v>-7.776418962664558E-2</v>
      </c>
      <c r="X140" s="3">
        <v>0.93174590230775511</v>
      </c>
      <c r="Y140" s="3">
        <v>0.90984494588832854</v>
      </c>
      <c r="Z140" s="3">
        <v>0.86978250486364328</v>
      </c>
      <c r="AA140" s="3">
        <v>0.85057257021702914</v>
      </c>
      <c r="AB140" s="3">
        <v>0.80969466804906742</v>
      </c>
      <c r="AC140" s="3">
        <f t="shared" si="12"/>
        <v>0.74672941834321593</v>
      </c>
    </row>
    <row r="141" spans="1:29" x14ac:dyDescent="0.3">
      <c r="A141">
        <v>2</v>
      </c>
      <c r="B141" t="s">
        <v>25</v>
      </c>
      <c r="C141" t="s">
        <v>393</v>
      </c>
      <c r="D141">
        <v>80</v>
      </c>
      <c r="E141" t="s">
        <v>394</v>
      </c>
      <c r="F141" t="s">
        <v>395</v>
      </c>
      <c r="G141" t="s">
        <v>519</v>
      </c>
      <c r="H141" s="4">
        <v>3.1</v>
      </c>
      <c r="I141" s="5">
        <v>2.7530000000000001</v>
      </c>
      <c r="J141" s="6">
        <v>2.6269999999999998</v>
      </c>
      <c r="K141" s="7">
        <v>3.004</v>
      </c>
      <c r="L141" s="6">
        <v>2.8660000000000001</v>
      </c>
      <c r="M141" s="7">
        <v>2.9039999999999999</v>
      </c>
      <c r="N141" s="6">
        <v>2.7149999999999999</v>
      </c>
      <c r="O141" s="7">
        <v>3.0230000000000001</v>
      </c>
      <c r="P141" s="3">
        <f t="shared" si="13"/>
        <v>2.8417142857142856</v>
      </c>
      <c r="Q141" s="3">
        <f t="shared" si="14"/>
        <v>3.0230000000000001</v>
      </c>
      <c r="R141" s="3">
        <f t="shared" si="15"/>
        <v>2.6269999999999998</v>
      </c>
      <c r="S141" s="3">
        <f t="shared" si="16"/>
        <v>0.39600000000000035</v>
      </c>
      <c r="T141" s="3" cm="1">
        <f t="array" ref="T141">MAX((TRANSPOSE(I141:O141)-I141:O141)/I141:O141)</f>
        <v>0.15074229158736216</v>
      </c>
      <c r="U141" s="3" cm="1">
        <f t="array" ref="U141">MAX((J141:O141-I141:N141)/I141:N141)</f>
        <v>0.14350970688998868</v>
      </c>
      <c r="V141" s="3" cm="1">
        <f t="array" ref="V141">MIN((TRANSPOSE(I141:O141)-I141:O141)/I141:O141)</f>
        <v>-0.13099569963612318</v>
      </c>
      <c r="W141" s="3" cm="1">
        <f t="array" ref="W141">MIN((J141:O141-I141:N141)/I141:N141)</f>
        <v>-6.5082644628099193E-2</v>
      </c>
      <c r="X141" s="3">
        <v>0.95423174718488912</v>
      </c>
      <c r="Y141" s="3">
        <v>1.0911732655285142</v>
      </c>
      <c r="Z141" s="3">
        <v>1.0410461314929169</v>
      </c>
      <c r="AA141" s="3">
        <v>1.0548492553577915</v>
      </c>
      <c r="AB141" s="3">
        <v>0.98619687613512519</v>
      </c>
      <c r="AC141" s="3">
        <f t="shared" si="12"/>
        <v>1.0980748274609518</v>
      </c>
    </row>
    <row r="142" spans="1:29" x14ac:dyDescent="0.3">
      <c r="A142">
        <v>2</v>
      </c>
      <c r="B142" t="s">
        <v>25</v>
      </c>
      <c r="C142" t="s">
        <v>396</v>
      </c>
      <c r="D142">
        <v>75</v>
      </c>
      <c r="E142" t="s">
        <v>397</v>
      </c>
      <c r="F142" t="s">
        <v>398</v>
      </c>
      <c r="G142" t="s">
        <v>519</v>
      </c>
      <c r="H142" s="4">
        <v>54.3</v>
      </c>
      <c r="I142" s="5">
        <v>60.695999999999998</v>
      </c>
      <c r="J142" s="6">
        <v>56.494</v>
      </c>
      <c r="K142" s="7">
        <v>56.996000000000002</v>
      </c>
      <c r="L142" s="6">
        <v>55.438000000000002</v>
      </c>
      <c r="M142" s="7">
        <v>55.634</v>
      </c>
      <c r="N142" s="6">
        <v>52.753</v>
      </c>
      <c r="O142" s="7">
        <v>52.234000000000002</v>
      </c>
      <c r="P142" s="3">
        <f t="shared" si="13"/>
        <v>55.749285714285712</v>
      </c>
      <c r="Q142" s="3">
        <f t="shared" si="14"/>
        <v>60.695999999999998</v>
      </c>
      <c r="R142" s="3">
        <f t="shared" si="15"/>
        <v>52.234000000000002</v>
      </c>
      <c r="S142" s="3">
        <f t="shared" si="16"/>
        <v>8.4619999999999962</v>
      </c>
      <c r="T142" s="3" cm="1">
        <f t="array" ref="T142">MAX((TRANSPOSE(I142:O142)-I142:O142)/I142:O142)</f>
        <v>0.1620017613048971</v>
      </c>
      <c r="U142" s="3" cm="1">
        <f t="array" ref="U142">MAX((J142:O142-I142:N142)/I142:N142)</f>
        <v>8.8858993875456233E-3</v>
      </c>
      <c r="V142" s="3" cm="1">
        <f t="array" ref="V142">MIN((TRANSPOSE(I142:O142)-I142:O142)/I142:O142)</f>
        <v>-0.13941610649795697</v>
      </c>
      <c r="W142" s="3" cm="1">
        <f t="array" ref="W142">MIN((J142:O142-I142:N142)/I142:N142)</f>
        <v>-6.9230262290760486E-2</v>
      </c>
      <c r="X142" s="3">
        <v>0.93076973770923954</v>
      </c>
      <c r="Y142" s="3">
        <v>0.9390404639514961</v>
      </c>
      <c r="Z142" s="3">
        <v>0.91337155660999081</v>
      </c>
      <c r="AA142" s="3">
        <v>0.91660076446553318</v>
      </c>
      <c r="AB142" s="3">
        <v>0.86913470409911697</v>
      </c>
      <c r="AC142" s="3">
        <f t="shared" si="12"/>
        <v>0.86058389350204301</v>
      </c>
    </row>
    <row r="143" spans="1:29" x14ac:dyDescent="0.3">
      <c r="A143">
        <v>2</v>
      </c>
      <c r="B143" t="s">
        <v>25</v>
      </c>
      <c r="C143" t="s">
        <v>399</v>
      </c>
      <c r="D143">
        <v>78</v>
      </c>
      <c r="E143" t="s">
        <v>400</v>
      </c>
      <c r="F143" t="s">
        <v>401</v>
      </c>
      <c r="G143" t="s">
        <v>519</v>
      </c>
      <c r="H143" s="4">
        <v>6</v>
      </c>
      <c r="I143" s="5">
        <v>4.5780000000000003</v>
      </c>
      <c r="J143" s="6">
        <v>7.6210000000000004</v>
      </c>
      <c r="K143" s="7">
        <v>5.8760000000000003</v>
      </c>
      <c r="L143" s="6">
        <v>7.0140000000000002</v>
      </c>
      <c r="M143" s="7">
        <v>4.9379999999999997</v>
      </c>
      <c r="N143" s="6">
        <v>6.4889999999999999</v>
      </c>
      <c r="O143" s="7">
        <v>5.383</v>
      </c>
      <c r="P143" s="3">
        <f t="shared" si="13"/>
        <v>5.9855714285714283</v>
      </c>
      <c r="Q143" s="3">
        <f t="shared" si="14"/>
        <v>7.6210000000000004</v>
      </c>
      <c r="R143" s="3">
        <f t="shared" si="15"/>
        <v>4.5780000000000003</v>
      </c>
      <c r="S143" s="3">
        <f t="shared" si="16"/>
        <v>3.0430000000000001</v>
      </c>
      <c r="T143" s="3" cm="1">
        <f t="array" ref="T143">MAX((TRANSPOSE(I143:O143)-I143:O143)/I143:O143)</f>
        <v>0.6647007426823941</v>
      </c>
      <c r="U143" s="3" cm="1">
        <f t="array" ref="U143">MAX((J143:O143-I143:N143)/I143:N143)</f>
        <v>0.6647007426823941</v>
      </c>
      <c r="V143" s="3" cm="1">
        <f t="array" ref="V143">MIN((TRANSPOSE(I143:O143)-I143:O143)/I143:O143)</f>
        <v>-0.39929143157065999</v>
      </c>
      <c r="W143" s="3" cm="1">
        <f t="array" ref="W143">MIN((J143:O143-I143:N143)/I143:N143)</f>
        <v>-0.29597946963216432</v>
      </c>
      <c r="X143" s="3">
        <v>1.6647007426823941</v>
      </c>
      <c r="Y143" s="3">
        <v>1.2835299257317605</v>
      </c>
      <c r="Z143" s="3">
        <v>1.5321100917431192</v>
      </c>
      <c r="AA143" s="3">
        <v>1.0786369593709042</v>
      </c>
      <c r="AB143" s="3">
        <v>1.4174311926605503</v>
      </c>
      <c r="AC143" s="3">
        <f t="shared" si="12"/>
        <v>1.1758409785932722</v>
      </c>
    </row>
    <row r="144" spans="1:29" x14ac:dyDescent="0.3">
      <c r="A144">
        <v>1</v>
      </c>
      <c r="B144" t="s">
        <v>35</v>
      </c>
      <c r="C144" t="s">
        <v>402</v>
      </c>
      <c r="D144">
        <v>51</v>
      </c>
      <c r="E144" t="s">
        <v>49</v>
      </c>
      <c r="F144" t="s">
        <v>403</v>
      </c>
      <c r="G144" t="s">
        <v>519</v>
      </c>
      <c r="H144" s="4">
        <v>17.8</v>
      </c>
      <c r="I144" s="5">
        <v>28.398</v>
      </c>
      <c r="J144" s="6">
        <v>22.396000000000001</v>
      </c>
      <c r="K144" s="7">
        <v>21.588000000000001</v>
      </c>
      <c r="L144" s="6">
        <v>20.271999999999998</v>
      </c>
      <c r="M144" s="7">
        <v>19.404</v>
      </c>
      <c r="N144" s="6">
        <v>17.641999999999999</v>
      </c>
      <c r="O144" s="7">
        <v>16.460999999999999</v>
      </c>
      <c r="P144" s="3">
        <f t="shared" si="13"/>
        <v>20.880142857142857</v>
      </c>
      <c r="Q144" s="3">
        <f t="shared" si="14"/>
        <v>28.398</v>
      </c>
      <c r="R144" s="3">
        <f t="shared" si="15"/>
        <v>16.460999999999999</v>
      </c>
      <c r="S144" s="3">
        <f t="shared" si="16"/>
        <v>11.937000000000001</v>
      </c>
      <c r="T144" s="3" cm="1">
        <f t="array" ref="T144">MAX((TRANSPOSE(I144:O144)-I144:O144)/I144:O144)</f>
        <v>0.72516858028066356</v>
      </c>
      <c r="U144" s="3" cm="1">
        <f t="array" ref="U144">MAX((J144:O144-I144:N144)/I144:N144)</f>
        <v>-3.6077871048401489E-2</v>
      </c>
      <c r="V144" s="3" cm="1">
        <f t="array" ref="V144">MIN((TRANSPOSE(I144:O144)-I144:O144)/I144:O144)</f>
        <v>-0.42034650327487855</v>
      </c>
      <c r="W144" s="3" cm="1">
        <f t="array" ref="W144">MIN((J144:O144-I144:N144)/I144:N144)</f>
        <v>-0.21135291217691382</v>
      </c>
      <c r="X144" s="3">
        <v>0.78864708782308612</v>
      </c>
      <c r="Y144" s="3">
        <v>0.76019437988590755</v>
      </c>
      <c r="Z144" s="3">
        <v>0.71385308824565108</v>
      </c>
      <c r="AA144" s="3">
        <v>0.68328755546165221</v>
      </c>
      <c r="AB144" s="3">
        <v>0.62124093246003242</v>
      </c>
      <c r="AC144" s="3">
        <f t="shared" si="12"/>
        <v>0.57965349672512145</v>
      </c>
    </row>
    <row r="145" spans="1:29" x14ac:dyDescent="0.3">
      <c r="A145">
        <v>1</v>
      </c>
      <c r="B145" t="s">
        <v>35</v>
      </c>
      <c r="C145" t="s">
        <v>404</v>
      </c>
      <c r="D145">
        <v>45</v>
      </c>
      <c r="E145" t="s">
        <v>217</v>
      </c>
      <c r="F145" t="s">
        <v>405</v>
      </c>
      <c r="G145" t="s">
        <v>519</v>
      </c>
      <c r="H145" s="4">
        <v>5.7</v>
      </c>
      <c r="I145" s="5">
        <v>8.6999999999999993</v>
      </c>
      <c r="J145" s="6">
        <v>7.8460000000000001</v>
      </c>
      <c r="K145" s="7">
        <v>6.3710000000000004</v>
      </c>
      <c r="L145" s="6">
        <v>6.383</v>
      </c>
      <c r="M145" s="7">
        <v>5.89</v>
      </c>
      <c r="N145" s="6">
        <v>4.6210000000000004</v>
      </c>
      <c r="O145" s="7">
        <v>4.617</v>
      </c>
      <c r="P145" s="3">
        <f t="shared" si="13"/>
        <v>6.3468571428571421</v>
      </c>
      <c r="Q145" s="3">
        <f t="shared" si="14"/>
        <v>8.6999999999999993</v>
      </c>
      <c r="R145" s="3">
        <f t="shared" si="15"/>
        <v>4.617</v>
      </c>
      <c r="S145" s="3">
        <f t="shared" si="16"/>
        <v>4.0829999999999993</v>
      </c>
      <c r="T145" s="3" cm="1">
        <f t="array" ref="T145">MAX((TRANSPOSE(I145:O145)-I145:O145)/I145:O145)</f>
        <v>0.8843404808317088</v>
      </c>
      <c r="U145" s="3" cm="1">
        <f t="array" ref="U145">MAX((J145:O145-I145:N145)/I145:N145)</f>
        <v>1.8835347669125045E-3</v>
      </c>
      <c r="V145" s="3" cm="1">
        <f t="array" ref="V145">MIN((TRANSPOSE(I145:O145)-I145:O145)/I145:O145)</f>
        <v>-0.46931034482758616</v>
      </c>
      <c r="W145" s="3" cm="1">
        <f t="array" ref="W145">MIN((J145:O145-I145:N145)/I145:N145)</f>
        <v>-0.21544991511035641</v>
      </c>
      <c r="X145" s="3">
        <v>0.90183908045977024</v>
      </c>
      <c r="Y145" s="3">
        <v>0.73229885057471278</v>
      </c>
      <c r="Z145" s="3">
        <v>0.7336781609195403</v>
      </c>
      <c r="AA145" s="3">
        <v>0.67701149425287355</v>
      </c>
      <c r="AB145" s="3">
        <v>0.53114942528735642</v>
      </c>
      <c r="AC145" s="3">
        <f t="shared" si="12"/>
        <v>0.53068965517241384</v>
      </c>
    </row>
    <row r="146" spans="1:29" x14ac:dyDescent="0.3">
      <c r="A146">
        <v>3</v>
      </c>
      <c r="B146" t="s">
        <v>21</v>
      </c>
      <c r="C146" t="s">
        <v>406</v>
      </c>
      <c r="D146">
        <v>57</v>
      </c>
      <c r="E146" t="s">
        <v>43</v>
      </c>
      <c r="F146" t="s">
        <v>407</v>
      </c>
      <c r="G146" t="s">
        <v>519</v>
      </c>
      <c r="H146" s="4">
        <v>8.1999999999999993</v>
      </c>
      <c r="I146" s="5">
        <v>9.5</v>
      </c>
      <c r="J146" s="6">
        <v>8.9689999999999994</v>
      </c>
      <c r="K146" s="7">
        <v>9.8379999999999992</v>
      </c>
      <c r="L146" s="6">
        <v>7.4349999999999996</v>
      </c>
      <c r="M146" s="7">
        <v>7.5549999999999997</v>
      </c>
      <c r="N146" s="6">
        <v>7.3070000000000004</v>
      </c>
      <c r="O146" s="7">
        <v>8.2949999999999999</v>
      </c>
      <c r="P146" s="3">
        <f t="shared" si="13"/>
        <v>8.414142857142858</v>
      </c>
      <c r="Q146" s="3">
        <f t="shared" si="14"/>
        <v>9.8379999999999992</v>
      </c>
      <c r="R146" s="3">
        <f t="shared" si="15"/>
        <v>7.3070000000000004</v>
      </c>
      <c r="S146" s="3">
        <f t="shared" si="16"/>
        <v>2.5309999999999988</v>
      </c>
      <c r="T146" s="3" cm="1">
        <f t="array" ref="T146">MAX((TRANSPOSE(I146:O146)-I146:O146)/I146:O146)</f>
        <v>0.34638018338579424</v>
      </c>
      <c r="U146" s="3" cm="1">
        <f t="array" ref="U146">MAX((J146:O146-I146:N146)/I146:N146)</f>
        <v>0.13521280963459689</v>
      </c>
      <c r="V146" s="3" cm="1">
        <f t="array" ref="V146">MIN((TRANSPOSE(I146:O146)-I146:O146)/I146:O146)</f>
        <v>-0.2572677373449887</v>
      </c>
      <c r="W146" s="3" cm="1">
        <f t="array" ref="W146">MIN((J146:O146-I146:N146)/I146:N146)</f>
        <v>-0.24425696279731651</v>
      </c>
      <c r="X146" s="3">
        <v>0.94410526315789467</v>
      </c>
      <c r="Y146" s="3">
        <v>1.0355789473684209</v>
      </c>
      <c r="Z146" s="3">
        <v>0.78263157894736834</v>
      </c>
      <c r="AA146" s="3">
        <v>0.79526315789473678</v>
      </c>
      <c r="AB146" s="3">
        <v>0.76915789473684215</v>
      </c>
      <c r="AC146" s="3">
        <f t="shared" si="12"/>
        <v>0.87315789473684213</v>
      </c>
    </row>
    <row r="147" spans="1:29" x14ac:dyDescent="0.3">
      <c r="A147">
        <v>3</v>
      </c>
      <c r="B147" t="s">
        <v>21</v>
      </c>
      <c r="C147" t="s">
        <v>408</v>
      </c>
      <c r="D147">
        <v>72</v>
      </c>
      <c r="E147" t="s">
        <v>259</v>
      </c>
      <c r="F147" t="s">
        <v>409</v>
      </c>
      <c r="G147" t="s">
        <v>519</v>
      </c>
      <c r="H147" s="4">
        <v>59.7</v>
      </c>
      <c r="I147" s="5">
        <v>73.483999999999995</v>
      </c>
      <c r="J147" s="6">
        <v>67.421999999999997</v>
      </c>
      <c r="K147" s="7">
        <v>62.71</v>
      </c>
      <c r="L147" s="6">
        <v>59.746000000000002</v>
      </c>
      <c r="M147" s="7">
        <v>59.993000000000002</v>
      </c>
      <c r="N147" s="6">
        <v>58.807000000000002</v>
      </c>
      <c r="O147" s="7">
        <v>57.518999999999998</v>
      </c>
      <c r="P147" s="3">
        <f t="shared" si="13"/>
        <v>62.811571428571433</v>
      </c>
      <c r="Q147" s="3">
        <f t="shared" si="14"/>
        <v>73.483999999999995</v>
      </c>
      <c r="R147" s="3">
        <f t="shared" si="15"/>
        <v>57.518999999999998</v>
      </c>
      <c r="S147" s="3">
        <f t="shared" si="16"/>
        <v>15.964999999999996</v>
      </c>
      <c r="T147" s="3" cm="1">
        <f t="array" ref="T147">MAX((TRANSPOSE(I147:O147)-I147:O147)/I147:O147)</f>
        <v>0.2775604582833498</v>
      </c>
      <c r="U147" s="3" cm="1">
        <f t="array" ref="U147">MAX((J147:O147-I147:N147)/I147:N147)</f>
        <v>4.1341679777725689E-3</v>
      </c>
      <c r="V147" s="3" cm="1">
        <f t="array" ref="V147">MIN((TRANSPOSE(I147:O147)-I147:O147)/I147:O147)</f>
        <v>-0.21725817865113492</v>
      </c>
      <c r="W147" s="3" cm="1">
        <f t="array" ref="W147">MIN((J147:O147-I147:N147)/I147:N147)</f>
        <v>-8.2494148386043201E-2</v>
      </c>
      <c r="X147" s="3">
        <v>0.91750585161395681</v>
      </c>
      <c r="Y147" s="3">
        <v>0.85338304937129184</v>
      </c>
      <c r="Z147" s="3">
        <v>0.81304773828316379</v>
      </c>
      <c r="AA147" s="3">
        <v>0.81640901420717449</v>
      </c>
      <c r="AB147" s="3">
        <v>0.800269446410103</v>
      </c>
      <c r="AC147" s="3">
        <f t="shared" si="12"/>
        <v>0.78274182134886505</v>
      </c>
    </row>
    <row r="148" spans="1:29" x14ac:dyDescent="0.3">
      <c r="A148">
        <v>2</v>
      </c>
      <c r="B148" t="s">
        <v>25</v>
      </c>
      <c r="C148" t="s">
        <v>410</v>
      </c>
      <c r="D148">
        <v>94</v>
      </c>
      <c r="E148" t="s">
        <v>411</v>
      </c>
      <c r="F148" t="s">
        <v>412</v>
      </c>
      <c r="G148" t="s">
        <v>519</v>
      </c>
      <c r="H148" s="4">
        <v>13.3</v>
      </c>
      <c r="I148" s="5">
        <v>20.363</v>
      </c>
      <c r="J148" s="6">
        <v>14.643000000000001</v>
      </c>
      <c r="K148" s="7">
        <v>16.972999999999999</v>
      </c>
      <c r="L148" s="6">
        <v>15.675000000000001</v>
      </c>
      <c r="M148" s="7">
        <v>14.875</v>
      </c>
      <c r="N148" s="6">
        <v>11.602</v>
      </c>
      <c r="O148" s="7">
        <v>12.298999999999999</v>
      </c>
      <c r="P148" s="3">
        <f t="shared" si="13"/>
        <v>15.204285714285716</v>
      </c>
      <c r="Q148" s="3">
        <f t="shared" si="14"/>
        <v>20.363</v>
      </c>
      <c r="R148" s="3">
        <f t="shared" si="15"/>
        <v>11.602</v>
      </c>
      <c r="S148" s="3">
        <f t="shared" si="16"/>
        <v>8.7609999999999992</v>
      </c>
      <c r="T148" s="3" cm="1">
        <f t="array" ref="T148">MAX((TRANSPOSE(I148:O148)-I148:O148)/I148:O148)</f>
        <v>0.75512842613342523</v>
      </c>
      <c r="U148" s="3" cm="1">
        <f t="array" ref="U148">MAX((J148:O148-I148:N148)/I148:N148)</f>
        <v>0.15912039882537718</v>
      </c>
      <c r="V148" s="3" cm="1">
        <f t="array" ref="V148">MIN((TRANSPOSE(I148:O148)-I148:O148)/I148:O148)</f>
        <v>-0.43024112360654126</v>
      </c>
      <c r="W148" s="3" cm="1">
        <f t="array" ref="W148">MIN((J148:O148-I148:N148)/I148:N148)</f>
        <v>-0.28090163531896079</v>
      </c>
      <c r="X148" s="3">
        <v>0.71909836468103916</v>
      </c>
      <c r="Y148" s="3">
        <v>0.83352158326376269</v>
      </c>
      <c r="Z148" s="3">
        <v>0.76977851986446011</v>
      </c>
      <c r="AA148" s="3">
        <v>0.73049157786180818</v>
      </c>
      <c r="AB148" s="3">
        <v>0.56975887639345879</v>
      </c>
      <c r="AC148" s="3">
        <f t="shared" si="12"/>
        <v>0.60398762461326916</v>
      </c>
    </row>
    <row r="149" spans="1:29" x14ac:dyDescent="0.3">
      <c r="A149">
        <v>1</v>
      </c>
      <c r="B149" t="s">
        <v>35</v>
      </c>
      <c r="C149" t="s">
        <v>413</v>
      </c>
      <c r="D149">
        <v>55</v>
      </c>
      <c r="E149" t="s">
        <v>193</v>
      </c>
      <c r="F149" t="s">
        <v>414</v>
      </c>
      <c r="G149" t="s">
        <v>519</v>
      </c>
      <c r="H149" s="4">
        <v>4.2</v>
      </c>
      <c r="I149" s="5">
        <v>3.0569999999999999</v>
      </c>
      <c r="J149" s="6">
        <v>3.556</v>
      </c>
      <c r="K149" s="7">
        <v>3.6880000000000002</v>
      </c>
      <c r="L149" s="6">
        <v>4.0449999999999999</v>
      </c>
      <c r="M149" s="7">
        <v>3.9820000000000002</v>
      </c>
      <c r="N149" s="6">
        <v>3.6040000000000001</v>
      </c>
      <c r="O149" s="7">
        <v>3.9529999999999998</v>
      </c>
      <c r="P149" s="3">
        <f t="shared" si="13"/>
        <v>3.6978571428571425</v>
      </c>
      <c r="Q149" s="3">
        <f t="shared" si="14"/>
        <v>4.0449999999999999</v>
      </c>
      <c r="R149" s="3">
        <f t="shared" si="15"/>
        <v>3.0569999999999999</v>
      </c>
      <c r="S149" s="3">
        <f t="shared" si="16"/>
        <v>0.98799999999999999</v>
      </c>
      <c r="T149" s="3" cm="1">
        <f t="array" ref="T149">MAX((TRANSPOSE(I149:O149)-I149:O149)/I149:O149)</f>
        <v>0.32319267255479228</v>
      </c>
      <c r="U149" s="3" cm="1">
        <f t="array" ref="U149">MAX((J149:O149-I149:N149)/I149:N149)</f>
        <v>0.16323192672554795</v>
      </c>
      <c r="V149" s="3" cm="1">
        <f t="array" ref="V149">MIN((TRANSPOSE(I149:O149)-I149:O149)/I149:O149)</f>
        <v>-0.24425216316440049</v>
      </c>
      <c r="W149" s="3" cm="1">
        <f t="array" ref="W149">MIN((J149:O149-I149:N149)/I149:N149)</f>
        <v>-9.49271722752386E-2</v>
      </c>
      <c r="X149" s="3">
        <v>1.163231926725548</v>
      </c>
      <c r="Y149" s="3">
        <v>1.2064115145567551</v>
      </c>
      <c r="Z149" s="3">
        <v>1.3231926725547922</v>
      </c>
      <c r="AA149" s="3">
        <v>1.3025842329080799</v>
      </c>
      <c r="AB149" s="3">
        <v>1.178933595027805</v>
      </c>
      <c r="AC149" s="3">
        <f t="shared" si="12"/>
        <v>1.2930978083087994</v>
      </c>
    </row>
    <row r="150" spans="1:29" x14ac:dyDescent="0.3">
      <c r="A150">
        <v>2</v>
      </c>
      <c r="B150" t="s">
        <v>25</v>
      </c>
      <c r="C150" t="s">
        <v>415</v>
      </c>
      <c r="D150">
        <v>88</v>
      </c>
      <c r="E150" t="s">
        <v>416</v>
      </c>
      <c r="F150" t="s">
        <v>417</v>
      </c>
      <c r="G150" t="s">
        <v>519</v>
      </c>
      <c r="H150" s="4">
        <v>4.2</v>
      </c>
      <c r="I150" s="5">
        <v>4.0309999999999997</v>
      </c>
      <c r="J150" s="6">
        <v>4.5570000000000004</v>
      </c>
      <c r="K150" s="7">
        <v>4.2489999999999997</v>
      </c>
      <c r="L150" s="6">
        <v>4.0449999999999999</v>
      </c>
      <c r="M150" s="7">
        <v>3.9820000000000002</v>
      </c>
      <c r="N150" s="6">
        <v>3.7949999999999999</v>
      </c>
      <c r="O150" s="7">
        <v>4.1520000000000001</v>
      </c>
      <c r="P150" s="3">
        <f t="shared" si="13"/>
        <v>4.1158571428571431</v>
      </c>
      <c r="Q150" s="3">
        <f t="shared" si="14"/>
        <v>4.5570000000000004</v>
      </c>
      <c r="R150" s="3">
        <f t="shared" si="15"/>
        <v>3.7949999999999999</v>
      </c>
      <c r="S150" s="3">
        <f t="shared" si="16"/>
        <v>0.76200000000000045</v>
      </c>
      <c r="T150" s="3" cm="1">
        <f t="array" ref="T150">MAX((TRANSPOSE(I150:O150)-I150:O150)/I150:O150)</f>
        <v>0.20079051383399221</v>
      </c>
      <c r="U150" s="3" cm="1">
        <f t="array" ref="U150">MAX((J150:O150-I150:N150)/I150:N150)</f>
        <v>0.13048871247829341</v>
      </c>
      <c r="V150" s="3" cm="1">
        <f t="array" ref="V150">MIN((TRANSPOSE(I150:O150)-I150:O150)/I150:O150)</f>
        <v>-0.1672152732060567</v>
      </c>
      <c r="W150" s="3" cm="1">
        <f t="array" ref="W150">MIN((J150:O150-I150:N150)/I150:N150)</f>
        <v>-6.7588325652841938E-2</v>
      </c>
      <c r="X150" s="3">
        <v>1.1304887124782934</v>
      </c>
      <c r="Y150" s="3">
        <v>1.0540808732324485</v>
      </c>
      <c r="Z150" s="3">
        <v>1.003473083602084</v>
      </c>
      <c r="AA150" s="3">
        <v>0.98784420739270662</v>
      </c>
      <c r="AB150" s="3">
        <v>0.94145373356487227</v>
      </c>
      <c r="AC150" s="3">
        <f t="shared" si="12"/>
        <v>1.0300173654180105</v>
      </c>
    </row>
    <row r="151" spans="1:29" x14ac:dyDescent="0.3">
      <c r="A151">
        <v>2</v>
      </c>
      <c r="B151" t="s">
        <v>25</v>
      </c>
      <c r="C151" t="s">
        <v>418</v>
      </c>
      <c r="D151">
        <v>79</v>
      </c>
      <c r="E151" t="s">
        <v>419</v>
      </c>
      <c r="F151" t="s">
        <v>420</v>
      </c>
      <c r="G151" t="s">
        <v>519</v>
      </c>
      <c r="H151" s="4">
        <v>3.7</v>
      </c>
      <c r="I151" s="5">
        <v>3.0569999999999999</v>
      </c>
      <c r="J151" s="6">
        <v>3.556</v>
      </c>
      <c r="K151" s="7">
        <v>2.879</v>
      </c>
      <c r="L151" s="6">
        <v>3.7170000000000001</v>
      </c>
      <c r="M151" s="7">
        <v>3.6219999999999999</v>
      </c>
      <c r="N151" s="6">
        <v>3.4140000000000001</v>
      </c>
      <c r="O151" s="7">
        <v>3.4209999999999998</v>
      </c>
      <c r="P151" s="3">
        <f t="shared" si="13"/>
        <v>3.3808571428571428</v>
      </c>
      <c r="Q151" s="3">
        <f t="shared" si="14"/>
        <v>3.7170000000000001</v>
      </c>
      <c r="R151" s="3">
        <f t="shared" si="15"/>
        <v>2.879</v>
      </c>
      <c r="S151" s="3">
        <f t="shared" si="16"/>
        <v>0.83800000000000008</v>
      </c>
      <c r="T151" s="3" cm="1">
        <f t="array" ref="T151">MAX((TRANSPOSE(I151:O151)-I151:O151)/I151:O151)</f>
        <v>0.29107328933657522</v>
      </c>
      <c r="U151" s="3" cm="1">
        <f t="array" ref="U151">MAX((J151:O151-I151:N151)/I151:N151)</f>
        <v>0.29107328933657522</v>
      </c>
      <c r="V151" s="3" cm="1">
        <f t="array" ref="V151">MIN((TRANSPOSE(I151:O151)-I151:O151)/I151:O151)</f>
        <v>-0.22545063223029327</v>
      </c>
      <c r="W151" s="3" cm="1">
        <f t="array" ref="W151">MIN((J151:O151-I151:N151)/I151:N151)</f>
        <v>-0.19038245219347583</v>
      </c>
      <c r="X151" s="3">
        <v>1.163231926725548</v>
      </c>
      <c r="Y151" s="3">
        <v>0.94177298004579657</v>
      </c>
      <c r="Z151" s="3">
        <v>1.2158979391560354</v>
      </c>
      <c r="AA151" s="3">
        <v>1.1848217206411515</v>
      </c>
      <c r="AB151" s="3">
        <v>1.1167811579980373</v>
      </c>
      <c r="AC151" s="3">
        <f t="shared" si="12"/>
        <v>1.1190709846254498</v>
      </c>
    </row>
    <row r="152" spans="1:29" x14ac:dyDescent="0.3">
      <c r="A152">
        <v>2</v>
      </c>
      <c r="B152" t="s">
        <v>25</v>
      </c>
      <c r="C152" t="s">
        <v>421</v>
      </c>
      <c r="D152">
        <v>76</v>
      </c>
      <c r="E152" t="s">
        <v>422</v>
      </c>
      <c r="F152" t="s">
        <v>423</v>
      </c>
      <c r="G152" t="s">
        <v>519</v>
      </c>
      <c r="H152" s="4">
        <v>3.4</v>
      </c>
      <c r="I152" s="5">
        <v>2.3879999999999999</v>
      </c>
      <c r="J152" s="6">
        <v>2.984</v>
      </c>
      <c r="K152" s="7">
        <v>3.3149999999999999</v>
      </c>
      <c r="L152" s="6">
        <v>3.7170000000000001</v>
      </c>
      <c r="M152" s="7">
        <v>3.1429999999999998</v>
      </c>
      <c r="N152" s="6">
        <v>3.0960000000000001</v>
      </c>
      <c r="O152" s="7">
        <v>2.956</v>
      </c>
      <c r="P152" s="3">
        <f t="shared" si="13"/>
        <v>3.0855714285714284</v>
      </c>
      <c r="Q152" s="3">
        <f t="shared" si="14"/>
        <v>3.7170000000000001</v>
      </c>
      <c r="R152" s="3">
        <f t="shared" si="15"/>
        <v>2.3879999999999999</v>
      </c>
      <c r="S152" s="3">
        <f t="shared" si="16"/>
        <v>1.3290000000000002</v>
      </c>
      <c r="T152" s="3" cm="1">
        <f t="array" ref="T152">MAX((TRANSPOSE(I152:O152)-I152:O152)/I152:O152)</f>
        <v>0.55653266331658302</v>
      </c>
      <c r="U152" s="3" cm="1">
        <f t="array" ref="U152">MAX((J152:O152-I152:N152)/I152:N152)</f>
        <v>0.24958123953098832</v>
      </c>
      <c r="V152" s="3" cm="1">
        <f t="array" ref="V152">MIN((TRANSPOSE(I152:O152)-I152:O152)/I152:O152)</f>
        <v>-0.35754640839386609</v>
      </c>
      <c r="W152" s="3" cm="1">
        <f t="array" ref="W152">MIN((J152:O152-I152:N152)/I152:N152)</f>
        <v>-0.15442561205273078</v>
      </c>
      <c r="X152" s="3">
        <v>1.2495812395309884</v>
      </c>
      <c r="Y152" s="3">
        <v>1.3881909547738693</v>
      </c>
      <c r="Z152" s="3">
        <v>1.556532663316583</v>
      </c>
      <c r="AA152" s="3">
        <v>1.3161641541038525</v>
      </c>
      <c r="AB152" s="3">
        <v>1.2964824120603016</v>
      </c>
      <c r="AC152" s="3">
        <f t="shared" si="12"/>
        <v>1.23785594639866</v>
      </c>
    </row>
    <row r="153" spans="1:29" x14ac:dyDescent="0.3">
      <c r="A153">
        <v>3</v>
      </c>
      <c r="B153" t="s">
        <v>21</v>
      </c>
      <c r="C153" t="s">
        <v>424</v>
      </c>
      <c r="D153">
        <v>50</v>
      </c>
      <c r="E153" t="s">
        <v>228</v>
      </c>
      <c r="F153" t="s">
        <v>425</v>
      </c>
      <c r="G153" t="s">
        <v>519</v>
      </c>
      <c r="H153" s="4">
        <v>7.8</v>
      </c>
      <c r="I153" s="5">
        <v>4.3959999999999999</v>
      </c>
      <c r="J153" s="6">
        <v>4.9249999999999998</v>
      </c>
      <c r="K153" s="7">
        <v>4.4980000000000002</v>
      </c>
      <c r="L153" s="6">
        <v>6.383</v>
      </c>
      <c r="M153" s="7">
        <v>6.1269999999999998</v>
      </c>
      <c r="N153" s="6">
        <v>7.9210000000000003</v>
      </c>
      <c r="O153" s="7">
        <v>7.0209999999999999</v>
      </c>
      <c r="P153" s="3">
        <f t="shared" si="13"/>
        <v>5.8958571428571434</v>
      </c>
      <c r="Q153" s="3">
        <f t="shared" si="14"/>
        <v>7.9210000000000003</v>
      </c>
      <c r="R153" s="3">
        <f t="shared" si="15"/>
        <v>4.3959999999999999</v>
      </c>
      <c r="S153" s="3">
        <f t="shared" si="16"/>
        <v>3.5250000000000004</v>
      </c>
      <c r="T153" s="3" cm="1">
        <f t="array" ref="T153">MAX((TRANSPOSE(I153:O153)-I153:O153)/I153:O153)</f>
        <v>0.80186533212010924</v>
      </c>
      <c r="U153" s="3" cm="1">
        <f t="array" ref="U153">MAX((J153:O153-I153:N153)/I153:N153)</f>
        <v>0.41907514450867045</v>
      </c>
      <c r="V153" s="3" cm="1">
        <f t="array" ref="V153">MIN((TRANSPOSE(I153:O153)-I153:O153)/I153:O153)</f>
        <v>-0.44501956823633382</v>
      </c>
      <c r="W153" s="3" cm="1">
        <f t="array" ref="W153">MIN((J153:O153-I153:N153)/I153:N153)</f>
        <v>-0.11362201742204271</v>
      </c>
      <c r="X153" s="3">
        <v>1.120336669699727</v>
      </c>
      <c r="Y153" s="3">
        <v>1.0232029117379438</v>
      </c>
      <c r="Z153" s="3">
        <v>1.4520018198362148</v>
      </c>
      <c r="AA153" s="3">
        <v>1.3937670609645132</v>
      </c>
      <c r="AB153" s="3">
        <v>1.8018653321201092</v>
      </c>
      <c r="AC153" s="3">
        <f t="shared" si="12"/>
        <v>1.5971337579617835</v>
      </c>
    </row>
    <row r="154" spans="1:29" x14ac:dyDescent="0.3">
      <c r="A154">
        <v>2</v>
      </c>
      <c r="B154" t="s">
        <v>25</v>
      </c>
      <c r="C154" t="s">
        <v>426</v>
      </c>
      <c r="D154">
        <v>66</v>
      </c>
      <c r="E154" t="s">
        <v>127</v>
      </c>
      <c r="F154" t="s">
        <v>427</v>
      </c>
      <c r="G154" t="s">
        <v>519</v>
      </c>
      <c r="H154" s="4">
        <v>5.2</v>
      </c>
      <c r="I154" s="5">
        <v>3.6659999999999999</v>
      </c>
      <c r="J154" s="6">
        <v>4.343</v>
      </c>
      <c r="K154" s="7">
        <v>3.8130000000000002</v>
      </c>
      <c r="L154" s="6">
        <v>4.4379999999999997</v>
      </c>
      <c r="M154" s="7">
        <v>4.58</v>
      </c>
      <c r="N154" s="6">
        <v>4.8529999999999998</v>
      </c>
      <c r="O154" s="7">
        <v>5.5650000000000004</v>
      </c>
      <c r="P154" s="3">
        <f t="shared" si="13"/>
        <v>4.4654285714285722</v>
      </c>
      <c r="Q154" s="3">
        <f t="shared" si="14"/>
        <v>5.5650000000000004</v>
      </c>
      <c r="R154" s="3">
        <f t="shared" si="15"/>
        <v>3.6659999999999999</v>
      </c>
      <c r="S154" s="3">
        <f t="shared" si="16"/>
        <v>1.8990000000000005</v>
      </c>
      <c r="T154" s="3" cm="1">
        <f t="array" ref="T154">MAX((TRANSPOSE(I154:O154)-I154:O154)/I154:O154)</f>
        <v>0.51800327332242235</v>
      </c>
      <c r="U154" s="3" cm="1">
        <f t="array" ref="U154">MAX((J154:O154-I154:N154)/I154:N154)</f>
        <v>0.18466993998908895</v>
      </c>
      <c r="V154" s="3" cm="1">
        <f t="array" ref="V154">MIN((TRANSPOSE(I154:O154)-I154:O154)/I154:O154)</f>
        <v>-0.34123989218328848</v>
      </c>
      <c r="W154" s="3" cm="1">
        <f t="array" ref="W154">MIN((J154:O154-I154:N154)/I154:N154)</f>
        <v>-0.12203545935988944</v>
      </c>
      <c r="X154" s="3">
        <v>1.184669939989089</v>
      </c>
      <c r="Y154" s="3">
        <v>1.0400981996726679</v>
      </c>
      <c r="Z154" s="3">
        <v>1.2105837424986361</v>
      </c>
      <c r="AA154" s="3">
        <v>1.2493180578286962</v>
      </c>
      <c r="AB154" s="3">
        <v>1.323786142935079</v>
      </c>
      <c r="AC154" s="3">
        <f t="shared" si="12"/>
        <v>1.5180032733224225</v>
      </c>
    </row>
    <row r="155" spans="1:29" x14ac:dyDescent="0.3">
      <c r="A155">
        <v>2</v>
      </c>
      <c r="B155" t="s">
        <v>25</v>
      </c>
      <c r="C155" t="s">
        <v>428</v>
      </c>
      <c r="D155">
        <v>100</v>
      </c>
      <c r="E155" t="s">
        <v>429</v>
      </c>
      <c r="F155" t="s">
        <v>430</v>
      </c>
      <c r="G155" t="s">
        <v>519</v>
      </c>
      <c r="H155" s="4">
        <v>3.7</v>
      </c>
      <c r="I155" s="5">
        <v>2.8140000000000001</v>
      </c>
      <c r="J155" s="6">
        <v>3.4129999999999998</v>
      </c>
      <c r="K155" s="7">
        <v>3.1280000000000001</v>
      </c>
      <c r="L155" s="6">
        <v>2.9969999999999999</v>
      </c>
      <c r="M155" s="7">
        <v>3.1429999999999998</v>
      </c>
      <c r="N155" s="6">
        <v>3.16</v>
      </c>
      <c r="O155" s="7">
        <v>4.0190000000000001</v>
      </c>
      <c r="P155" s="3">
        <f t="shared" si="13"/>
        <v>3.2391428571428569</v>
      </c>
      <c r="Q155" s="3">
        <f t="shared" si="14"/>
        <v>4.0190000000000001</v>
      </c>
      <c r="R155" s="3">
        <f t="shared" si="15"/>
        <v>2.8140000000000001</v>
      </c>
      <c r="S155" s="3">
        <f t="shared" si="16"/>
        <v>1.2050000000000001</v>
      </c>
      <c r="T155" s="3" cm="1">
        <f t="array" ref="T155">MAX((TRANSPOSE(I155:O155)-I155:O155)/I155:O155)</f>
        <v>0.42821606254442079</v>
      </c>
      <c r="U155" s="3" cm="1">
        <f t="array" ref="U155">MAX((J155:O155-I155:N155)/I155:N155)</f>
        <v>0.27183544303797469</v>
      </c>
      <c r="V155" s="3" cm="1">
        <f t="array" ref="V155">MIN((TRANSPOSE(I155:O155)-I155:O155)/I155:O155)</f>
        <v>-0.29982582732022894</v>
      </c>
      <c r="W155" s="3" cm="1">
        <f t="array" ref="W155">MIN((J155:O155-I155:N155)/I155:N155)</f>
        <v>-8.3504248461763755E-2</v>
      </c>
      <c r="X155" s="3">
        <v>1.212864250177683</v>
      </c>
      <c r="Y155" s="3">
        <v>1.111584932480455</v>
      </c>
      <c r="Z155" s="3">
        <v>1.0650319829424306</v>
      </c>
      <c r="AA155" s="3">
        <v>1.116915422885572</v>
      </c>
      <c r="AB155" s="3">
        <v>1.1229566453447051</v>
      </c>
      <c r="AC155" s="3">
        <f t="shared" si="12"/>
        <v>1.4282160625444207</v>
      </c>
    </row>
    <row r="156" spans="1:29" x14ac:dyDescent="0.3">
      <c r="A156">
        <v>2</v>
      </c>
      <c r="B156" t="s">
        <v>25</v>
      </c>
      <c r="C156" t="s">
        <v>431</v>
      </c>
      <c r="D156">
        <v>86</v>
      </c>
      <c r="E156" t="s">
        <v>432</v>
      </c>
      <c r="F156" t="s">
        <v>433</v>
      </c>
      <c r="G156" t="s">
        <v>519</v>
      </c>
      <c r="H156" s="4">
        <v>4.4000000000000004</v>
      </c>
      <c r="I156" s="5">
        <v>4.3959999999999999</v>
      </c>
      <c r="J156" s="6">
        <v>6.048</v>
      </c>
      <c r="K156" s="7">
        <v>4.1239999999999997</v>
      </c>
      <c r="L156" s="6">
        <v>4.1760000000000002</v>
      </c>
      <c r="M156" s="7">
        <v>3.802</v>
      </c>
      <c r="N156" s="6">
        <v>3.9849999999999999</v>
      </c>
      <c r="O156" s="7">
        <v>4.484</v>
      </c>
      <c r="P156" s="3">
        <f t="shared" si="13"/>
        <v>4.430714285714286</v>
      </c>
      <c r="Q156" s="3">
        <f t="shared" si="14"/>
        <v>6.048</v>
      </c>
      <c r="R156" s="3">
        <f t="shared" si="15"/>
        <v>3.802</v>
      </c>
      <c r="S156" s="3">
        <f t="shared" si="16"/>
        <v>2.246</v>
      </c>
      <c r="T156" s="3" cm="1">
        <f t="array" ref="T156">MAX((TRANSPOSE(I156:O156)-I156:O156)/I156:O156)</f>
        <v>0.59074171488690164</v>
      </c>
      <c r="U156" s="3" cm="1">
        <f t="array" ref="U156">MAX((J156:O156-I156:N156)/I156:N156)</f>
        <v>0.37579617834394907</v>
      </c>
      <c r="V156" s="3" cm="1">
        <f t="array" ref="V156">MIN((TRANSPOSE(I156:O156)-I156:O156)/I156:O156)</f>
        <v>-0.37136243386243384</v>
      </c>
      <c r="W156" s="3" cm="1">
        <f t="array" ref="W156">MIN((J156:O156-I156:N156)/I156:N156)</f>
        <v>-0.31812169312169319</v>
      </c>
      <c r="X156" s="3">
        <v>1.3757961783439492</v>
      </c>
      <c r="Y156" s="3">
        <v>0.93812556869881703</v>
      </c>
      <c r="Z156" s="3">
        <v>0.94995450409463156</v>
      </c>
      <c r="AA156" s="3">
        <v>0.86487716105550505</v>
      </c>
      <c r="AB156" s="3">
        <v>0.9065059144676979</v>
      </c>
      <c r="AC156" s="3">
        <f t="shared" si="12"/>
        <v>1.0200181983621475</v>
      </c>
    </row>
    <row r="157" spans="1:29" x14ac:dyDescent="0.3">
      <c r="A157">
        <v>2</v>
      </c>
      <c r="B157" t="s">
        <v>25</v>
      </c>
      <c r="C157" t="s">
        <v>434</v>
      </c>
      <c r="D157">
        <v>55</v>
      </c>
      <c r="E157" t="s">
        <v>193</v>
      </c>
      <c r="F157" t="s">
        <v>435</v>
      </c>
      <c r="G157" t="s">
        <v>519</v>
      </c>
      <c r="H157" s="4">
        <v>8.4</v>
      </c>
      <c r="I157" s="5">
        <v>3.6659999999999999</v>
      </c>
      <c r="J157" s="6">
        <v>6.048</v>
      </c>
      <c r="K157" s="7">
        <v>4.8860000000000001</v>
      </c>
      <c r="L157" s="6">
        <v>7.8559999999999999</v>
      </c>
      <c r="M157" s="7">
        <v>7.0789999999999997</v>
      </c>
      <c r="N157" s="6">
        <v>7.7160000000000002</v>
      </c>
      <c r="O157" s="7">
        <v>8.4770000000000003</v>
      </c>
      <c r="P157" s="3">
        <f t="shared" si="13"/>
        <v>6.5325714285714298</v>
      </c>
      <c r="Q157" s="3">
        <f t="shared" si="14"/>
        <v>8.4770000000000003</v>
      </c>
      <c r="R157" s="3">
        <f t="shared" si="15"/>
        <v>3.6659999999999999</v>
      </c>
      <c r="S157" s="3">
        <f t="shared" si="16"/>
        <v>4.8109999999999999</v>
      </c>
      <c r="T157" s="3" cm="1">
        <f t="array" ref="T157">MAX((TRANSPOSE(I157:O157)-I157:O157)/I157:O157)</f>
        <v>1.3123295144571741</v>
      </c>
      <c r="U157" s="3" cm="1">
        <f t="array" ref="U157">MAX((J157:O157-I157:N157)/I157:N157)</f>
        <v>0.64975450081833064</v>
      </c>
      <c r="V157" s="3" cm="1">
        <f t="array" ref="V157">MIN((TRANSPOSE(I157:O157)-I157:O157)/I157:O157)</f>
        <v>-0.56753568479414884</v>
      </c>
      <c r="W157" s="3" cm="1">
        <f t="array" ref="W157">MIN((J157:O157-I157:N157)/I157:N157)</f>
        <v>-0.19212962962962962</v>
      </c>
      <c r="X157" s="3">
        <v>1.6497545008183307</v>
      </c>
      <c r="Y157" s="3">
        <v>1.3327877795962904</v>
      </c>
      <c r="Z157" s="3">
        <v>2.1429350791052917</v>
      </c>
      <c r="AA157" s="3">
        <v>1.930987452264048</v>
      </c>
      <c r="AB157" s="3">
        <v>2.1047463175122751</v>
      </c>
      <c r="AC157" s="3">
        <f t="shared" si="12"/>
        <v>2.3123295144571743</v>
      </c>
    </row>
    <row r="158" spans="1:29" x14ac:dyDescent="0.3">
      <c r="A158">
        <v>2</v>
      </c>
      <c r="B158" t="s">
        <v>25</v>
      </c>
      <c r="C158" t="s">
        <v>436</v>
      </c>
      <c r="D158">
        <v>50</v>
      </c>
      <c r="E158" t="s">
        <v>228</v>
      </c>
      <c r="F158" t="s">
        <v>437</v>
      </c>
      <c r="G158" t="s">
        <v>519</v>
      </c>
      <c r="H158" s="4">
        <v>25.2</v>
      </c>
      <c r="I158" s="5">
        <v>36.624000000000002</v>
      </c>
      <c r="J158" s="6">
        <v>27.789000000000001</v>
      </c>
      <c r="K158" s="7">
        <v>29.106000000000002</v>
      </c>
      <c r="L158" s="6">
        <v>26.562000000000001</v>
      </c>
      <c r="M158" s="7">
        <v>25.742999999999999</v>
      </c>
      <c r="N158" s="6">
        <v>25.431999999999999</v>
      </c>
      <c r="O158" s="7">
        <v>22.847999999999999</v>
      </c>
      <c r="P158" s="3">
        <f t="shared" si="13"/>
        <v>27.729142857142854</v>
      </c>
      <c r="Q158" s="3">
        <f t="shared" si="14"/>
        <v>36.624000000000002</v>
      </c>
      <c r="R158" s="3">
        <f t="shared" si="15"/>
        <v>22.847999999999999</v>
      </c>
      <c r="S158" s="3">
        <f t="shared" si="16"/>
        <v>13.776000000000003</v>
      </c>
      <c r="T158" s="3" cm="1">
        <f t="array" ref="T158">MAX((TRANSPOSE(I158:O158)-I158:O158)/I158:O158)</f>
        <v>0.60294117647058842</v>
      </c>
      <c r="U158" s="3" cm="1">
        <f t="array" ref="U158">MAX((J158:O158-I158:N158)/I158:N158)</f>
        <v>4.7392853287271948E-2</v>
      </c>
      <c r="V158" s="3" cm="1">
        <f t="array" ref="V158">MIN((TRANSPOSE(I158:O158)-I158:O158)/I158:O158)</f>
        <v>-0.37614678899082576</v>
      </c>
      <c r="W158" s="3" cm="1">
        <f t="array" ref="W158">MIN((J158:O158-I158:N158)/I158:N158)</f>
        <v>-0.24123525557011796</v>
      </c>
      <c r="X158" s="3">
        <v>0.75876474442988207</v>
      </c>
      <c r="Y158" s="3">
        <v>0.79472477064220182</v>
      </c>
      <c r="Z158" s="3">
        <v>0.72526212319790295</v>
      </c>
      <c r="AA158" s="3">
        <v>0.70289973787680204</v>
      </c>
      <c r="AB158" s="3">
        <v>0.69440803844473564</v>
      </c>
      <c r="AC158" s="3">
        <f t="shared" si="12"/>
        <v>0.62385321100917424</v>
      </c>
    </row>
    <row r="159" spans="1:29" s="8" customFormat="1" x14ac:dyDescent="0.3">
      <c r="A159" s="8">
        <v>2</v>
      </c>
      <c r="B159" s="8" t="s">
        <v>25</v>
      </c>
      <c r="C159" s="8" t="s">
        <v>438</v>
      </c>
      <c r="D159" s="8">
        <v>67</v>
      </c>
      <c r="E159" s="8" t="s">
        <v>130</v>
      </c>
      <c r="F159" s="8" t="s">
        <v>439</v>
      </c>
      <c r="G159" s="8" t="s">
        <v>519</v>
      </c>
      <c r="H159" s="10">
        <v>4.0999999999999996</v>
      </c>
      <c r="I159" s="11">
        <v>2.6920000000000002</v>
      </c>
      <c r="J159" s="12">
        <v>3.6989999999999998</v>
      </c>
      <c r="K159" s="13">
        <v>3.5640000000000001</v>
      </c>
      <c r="L159" s="12">
        <v>3.5859999999999999</v>
      </c>
      <c r="M159" s="13">
        <v>3.323</v>
      </c>
      <c r="N159" s="12">
        <v>3.6040000000000001</v>
      </c>
      <c r="O159" s="14">
        <v>4.4180000000000001</v>
      </c>
      <c r="P159" s="9">
        <f t="shared" si="13"/>
        <v>3.5551428571428572</v>
      </c>
      <c r="Q159" s="9">
        <f t="shared" si="14"/>
        <v>4.4180000000000001</v>
      </c>
      <c r="R159" s="9">
        <f t="shared" si="15"/>
        <v>2.6920000000000002</v>
      </c>
      <c r="S159" s="9">
        <f t="shared" si="16"/>
        <v>1.726</v>
      </c>
      <c r="T159" s="9" cm="1">
        <f t="array" ref="T159">MAX((TRANSPOSE(I159:O159)-I159:O159)/I159:O159)</f>
        <v>0.64115898959881124</v>
      </c>
      <c r="U159" s="9" cm="1">
        <f t="array" ref="U159">MAX((J159:O159-I159:N159)/I159:N159)</f>
        <v>0.37407132243684976</v>
      </c>
      <c r="V159" s="9" cm="1">
        <f t="array" ref="V159">MIN((TRANSPOSE(I159:O159)-I159:O159)/I159:O159)</f>
        <v>-0.39067451335445902</v>
      </c>
      <c r="W159" s="9" cm="1">
        <f t="array" ref="W159">MIN((J159:O159-I159:N159)/I159:N159)</f>
        <v>-7.3340769659788044E-2</v>
      </c>
      <c r="X159" s="9">
        <v>1.3740713224368497</v>
      </c>
      <c r="Y159" s="9">
        <v>1.3239227340267459</v>
      </c>
      <c r="Z159" s="9">
        <v>1.3320950965824665</v>
      </c>
      <c r="AA159" s="9">
        <v>1.2343982169390786</v>
      </c>
      <c r="AB159" s="9">
        <v>1.338781575037147</v>
      </c>
      <c r="AC159" s="9">
        <f t="shared" si="12"/>
        <v>1.6411589895988112</v>
      </c>
    </row>
    <row r="160" spans="1:29" x14ac:dyDescent="0.3">
      <c r="A160">
        <v>3</v>
      </c>
      <c r="B160" t="s">
        <v>21</v>
      </c>
      <c r="C160" t="s">
        <v>440</v>
      </c>
      <c r="D160">
        <v>71</v>
      </c>
      <c r="E160" t="s">
        <v>441</v>
      </c>
      <c r="F160" t="s">
        <v>442</v>
      </c>
      <c r="G160" t="s">
        <v>519</v>
      </c>
      <c r="H160" s="4">
        <v>16.100000000000001</v>
      </c>
      <c r="I160" s="5">
        <v>10.3</v>
      </c>
      <c r="J160" s="6">
        <v>11.89</v>
      </c>
      <c r="K160" s="7">
        <v>13.305</v>
      </c>
      <c r="L160" s="6">
        <v>14.223000000000001</v>
      </c>
      <c r="M160" s="7">
        <v>15.102</v>
      </c>
      <c r="N160" s="6">
        <v>15.116</v>
      </c>
      <c r="O160" s="7">
        <v>16.460999999999999</v>
      </c>
      <c r="P160" s="3">
        <f t="shared" si="13"/>
        <v>13.771000000000001</v>
      </c>
      <c r="Q160" s="3">
        <f t="shared" si="14"/>
        <v>16.460999999999999</v>
      </c>
      <c r="R160" s="3">
        <f t="shared" si="15"/>
        <v>10.3</v>
      </c>
      <c r="S160" s="3">
        <f t="shared" si="16"/>
        <v>6.1609999999999978</v>
      </c>
      <c r="T160" s="3" cm="1">
        <f t="array" ref="T160">MAX((TRANSPOSE(I160:O160)-I160:O160)/I160:O160)</f>
        <v>0.59815533980582503</v>
      </c>
      <c r="U160" s="3" cm="1">
        <f t="array" ref="U160">MAX((J160:O160-I160:N160)/I160:N160)</f>
        <v>0.15436893203883492</v>
      </c>
      <c r="V160" s="3" cm="1">
        <f t="array" ref="V160">MIN((TRANSPOSE(I160:O160)-I160:O160)/I160:O160)</f>
        <v>-0.374278597898062</v>
      </c>
      <c r="W160" s="3" cm="1">
        <f t="array" ref="W160">MIN((J160:O160-I160:N160)/I160:N160)</f>
        <v>9.2702953251220675E-4</v>
      </c>
      <c r="X160" s="3">
        <v>1.1543689320388348</v>
      </c>
      <c r="Y160" s="3">
        <v>1.2917475728155339</v>
      </c>
      <c r="Z160" s="3">
        <v>1.3808737864077669</v>
      </c>
      <c r="AA160" s="3">
        <v>1.4662135922330097</v>
      </c>
      <c r="AB160" s="3">
        <v>1.4675728155339804</v>
      </c>
      <c r="AC160" s="3">
        <f t="shared" si="12"/>
        <v>1.598155339805825</v>
      </c>
    </row>
    <row r="161" spans="1:29" x14ac:dyDescent="0.3">
      <c r="A161">
        <v>2</v>
      </c>
      <c r="B161" t="s">
        <v>25</v>
      </c>
      <c r="C161" t="s">
        <v>443</v>
      </c>
      <c r="D161">
        <v>82</v>
      </c>
      <c r="E161" t="s">
        <v>444</v>
      </c>
      <c r="F161" t="s">
        <v>445</v>
      </c>
      <c r="G161" t="s">
        <v>519</v>
      </c>
      <c r="H161" s="4">
        <v>3.8</v>
      </c>
      <c r="I161" s="5">
        <v>2.206</v>
      </c>
      <c r="J161" s="6">
        <v>2.9129999999999998</v>
      </c>
      <c r="K161" s="7">
        <v>2.63</v>
      </c>
      <c r="L161" s="6">
        <v>3.6520000000000001</v>
      </c>
      <c r="M161" s="7">
        <v>3.5619999999999998</v>
      </c>
      <c r="N161" s="6">
        <v>3.7949999999999999</v>
      </c>
      <c r="O161" s="7">
        <v>3.6869999999999998</v>
      </c>
      <c r="P161" s="3">
        <f t="shared" si="13"/>
        <v>3.2064285714285714</v>
      </c>
      <c r="Q161" s="3">
        <f t="shared" si="14"/>
        <v>3.7949999999999999</v>
      </c>
      <c r="R161" s="3">
        <f t="shared" si="15"/>
        <v>2.206</v>
      </c>
      <c r="S161" s="3">
        <f t="shared" si="16"/>
        <v>1.589</v>
      </c>
      <c r="T161" s="3" cm="1">
        <f t="array" ref="T161">MAX((TRANSPOSE(I161:O161)-I161:O161)/I161:O161)</f>
        <v>0.72030825022665457</v>
      </c>
      <c r="U161" s="3" cm="1">
        <f t="array" ref="U161">MAX((J161:O161-I161:N161)/I161:N161)</f>
        <v>0.38859315589353621</v>
      </c>
      <c r="V161" s="3" cm="1">
        <f t="array" ref="V161">MIN((TRANSPOSE(I161:O161)-I161:O161)/I161:O161)</f>
        <v>-0.41870882740447957</v>
      </c>
      <c r="W161" s="3" cm="1">
        <f t="array" ref="W161">MIN((J161:O161-I161:N161)/I161:N161)</f>
        <v>-9.7150703741846867E-2</v>
      </c>
      <c r="X161" s="3">
        <v>1.3204895738893925</v>
      </c>
      <c r="Y161" s="3">
        <v>1.1922030825022665</v>
      </c>
      <c r="Z161" s="3">
        <v>1.6554850407978241</v>
      </c>
      <c r="AA161" s="3">
        <v>1.6146872166817769</v>
      </c>
      <c r="AB161" s="3">
        <v>1.7203082502266547</v>
      </c>
      <c r="AC161" s="3">
        <f t="shared" si="12"/>
        <v>1.671350861287398</v>
      </c>
    </row>
    <row r="162" spans="1:29" x14ac:dyDescent="0.3">
      <c r="A162">
        <v>3</v>
      </c>
      <c r="B162" t="s">
        <v>21</v>
      </c>
      <c r="C162" t="s">
        <v>446</v>
      </c>
      <c r="D162">
        <v>37</v>
      </c>
      <c r="E162" t="s">
        <v>67</v>
      </c>
      <c r="F162" t="s">
        <v>447</v>
      </c>
      <c r="G162" t="s">
        <v>519</v>
      </c>
      <c r="H162" s="4">
        <v>22.2</v>
      </c>
      <c r="I162" s="5">
        <v>24.648</v>
      </c>
      <c r="J162" s="6">
        <v>22.396000000000001</v>
      </c>
      <c r="K162" s="7">
        <v>23.030999999999999</v>
      </c>
      <c r="L162" s="6">
        <v>23.658999999999999</v>
      </c>
      <c r="M162" s="7">
        <v>23.706</v>
      </c>
      <c r="N162" s="6">
        <v>22.695</v>
      </c>
      <c r="O162" s="7">
        <v>21.881</v>
      </c>
      <c r="P162" s="3">
        <f t="shared" si="13"/>
        <v>23.145142857142854</v>
      </c>
      <c r="Q162" s="3">
        <f t="shared" si="14"/>
        <v>24.648</v>
      </c>
      <c r="R162" s="3">
        <f t="shared" si="15"/>
        <v>21.881</v>
      </c>
      <c r="S162" s="3">
        <f t="shared" si="16"/>
        <v>2.7669999999999995</v>
      </c>
      <c r="T162" s="3" cm="1">
        <f t="array" ref="T162">MAX((TRANSPOSE(I162:O162)-I162:O162)/I162:O162)</f>
        <v>0.12645674329326811</v>
      </c>
      <c r="U162" s="3" cm="1">
        <f t="array" ref="U162">MAX((J162:O162-I162:N162)/I162:N162)</f>
        <v>2.835327737095901E-2</v>
      </c>
      <c r="V162" s="3" cm="1">
        <f t="array" ref="V162">MIN((TRANSPOSE(I162:O162)-I162:O162)/I162:O162)</f>
        <v>-0.11226062966569293</v>
      </c>
      <c r="W162" s="3" cm="1">
        <f t="array" ref="W162">MIN((J162:O162-I162:N162)/I162:N162)</f>
        <v>-9.1366439467705243E-2</v>
      </c>
      <c r="X162" s="3">
        <v>0.90863356053229472</v>
      </c>
      <c r="Y162" s="3">
        <v>0.93439629990262896</v>
      </c>
      <c r="Z162" s="3">
        <v>0.95987504057124307</v>
      </c>
      <c r="AA162" s="3">
        <v>0.96178188899707884</v>
      </c>
      <c r="AB162" s="3">
        <v>0.92076436222005842</v>
      </c>
      <c r="AC162" s="3">
        <f t="shared" ref="AC162:AC190" si="17">O162/I162</f>
        <v>0.88773937033430705</v>
      </c>
    </row>
    <row r="163" spans="1:29" x14ac:dyDescent="0.3">
      <c r="A163">
        <v>2</v>
      </c>
      <c r="B163" t="s">
        <v>25</v>
      </c>
      <c r="C163" t="s">
        <v>448</v>
      </c>
      <c r="D163">
        <v>71</v>
      </c>
      <c r="E163" t="s">
        <v>441</v>
      </c>
      <c r="F163" t="s">
        <v>449</v>
      </c>
      <c r="G163" t="s">
        <v>519</v>
      </c>
      <c r="H163" s="4">
        <v>26.9</v>
      </c>
      <c r="I163" s="5">
        <v>31.809000000000001</v>
      </c>
      <c r="J163" s="6">
        <v>28.8</v>
      </c>
      <c r="K163" s="7">
        <v>29.106000000000002</v>
      </c>
      <c r="L163" s="6">
        <v>27.288</v>
      </c>
      <c r="M163" s="7">
        <v>24.838000000000001</v>
      </c>
      <c r="N163" s="6">
        <v>25.221</v>
      </c>
      <c r="O163" s="7">
        <v>25.170999999999999</v>
      </c>
      <c r="P163" s="3">
        <f t="shared" si="13"/>
        <v>27.461857142857145</v>
      </c>
      <c r="Q163" s="3">
        <f t="shared" si="14"/>
        <v>31.809000000000001</v>
      </c>
      <c r="R163" s="3">
        <f t="shared" si="15"/>
        <v>24.838000000000001</v>
      </c>
      <c r="S163" s="3">
        <f t="shared" si="16"/>
        <v>6.9710000000000001</v>
      </c>
      <c r="T163" s="3" cm="1">
        <f t="array" ref="T163">MAX((TRANSPOSE(I163:O163)-I163:O163)/I163:O163)</f>
        <v>0.28065866816973989</v>
      </c>
      <c r="U163" s="3" cm="1">
        <f t="array" ref="U163">MAX((J163:O163-I163:N163)/I163:N163)</f>
        <v>1.5419921088654445E-2</v>
      </c>
      <c r="V163" s="3" cm="1">
        <f t="array" ref="V163">MIN((TRANSPOSE(I163:O163)-I163:O163)/I163:O163)</f>
        <v>-0.21915181238014397</v>
      </c>
      <c r="W163" s="3" cm="1">
        <f t="array" ref="W163">MIN((J163:O163-I163:N163)/I163:N163)</f>
        <v>-9.4595869093652751E-2</v>
      </c>
      <c r="X163" s="3">
        <v>0.9054041309063473</v>
      </c>
      <c r="Y163" s="3">
        <v>0.91502404979722718</v>
      </c>
      <c r="Z163" s="3">
        <v>0.85787041403376396</v>
      </c>
      <c r="AA163" s="3">
        <v>0.78084818761985597</v>
      </c>
      <c r="AB163" s="3">
        <v>0.79288880505517301</v>
      </c>
      <c r="AC163" s="3">
        <f t="shared" si="17"/>
        <v>0.79131692288346056</v>
      </c>
    </row>
    <row r="164" spans="1:29" x14ac:dyDescent="0.3">
      <c r="A164">
        <v>2</v>
      </c>
      <c r="B164" t="s">
        <v>25</v>
      </c>
      <c r="C164" t="s">
        <v>450</v>
      </c>
      <c r="D164">
        <v>42</v>
      </c>
      <c r="E164" t="s">
        <v>315</v>
      </c>
      <c r="F164" t="s">
        <v>451</v>
      </c>
      <c r="G164" t="s">
        <v>519</v>
      </c>
      <c r="H164" s="4">
        <v>6.3</v>
      </c>
      <c r="I164" s="5">
        <v>4.2130000000000001</v>
      </c>
      <c r="J164" s="6">
        <v>4.5570000000000004</v>
      </c>
      <c r="K164" s="7">
        <v>4.6219999999999999</v>
      </c>
      <c r="L164" s="6">
        <v>4.91</v>
      </c>
      <c r="M164" s="7">
        <v>4.58</v>
      </c>
      <c r="N164" s="6">
        <v>5.4669999999999996</v>
      </c>
      <c r="O164" s="7">
        <v>6.8390000000000004</v>
      </c>
      <c r="P164" s="3">
        <f t="shared" si="13"/>
        <v>5.0268571428571418</v>
      </c>
      <c r="Q164" s="3">
        <f t="shared" si="14"/>
        <v>6.8390000000000004</v>
      </c>
      <c r="R164" s="3">
        <f t="shared" si="15"/>
        <v>4.2130000000000001</v>
      </c>
      <c r="S164" s="3">
        <f t="shared" si="16"/>
        <v>2.6260000000000003</v>
      </c>
      <c r="T164" s="3" cm="1">
        <f t="array" ref="T164">MAX((TRANSPOSE(I164:O164)-I164:O164)/I164:O164)</f>
        <v>0.62330880607643013</v>
      </c>
      <c r="U164" s="3" cm="1">
        <f t="array" ref="U164">MAX((J164:O164-I164:N164)/I164:N164)</f>
        <v>0.25096030729833563</v>
      </c>
      <c r="V164" s="3" cm="1">
        <f t="array" ref="V164">MIN((TRANSPOSE(I164:O164)-I164:O164)/I164:O164)</f>
        <v>-0.38397426524345668</v>
      </c>
      <c r="W164" s="3" cm="1">
        <f t="array" ref="W164">MIN((J164:O164-I164:N164)/I164:N164)</f>
        <v>-6.7209775967413454E-2</v>
      </c>
      <c r="X164" s="3">
        <v>1.0816520294327083</v>
      </c>
      <c r="Y164" s="3">
        <v>1.0970804652266792</v>
      </c>
      <c r="Z164" s="3">
        <v>1.1654403038215049</v>
      </c>
      <c r="AA164" s="3">
        <v>1.0871113220982673</v>
      </c>
      <c r="AB164" s="3">
        <v>1.2976501305483028</v>
      </c>
      <c r="AC164" s="3">
        <f t="shared" si="17"/>
        <v>1.6233088060764302</v>
      </c>
    </row>
    <row r="165" spans="1:29" x14ac:dyDescent="0.3">
      <c r="A165">
        <v>3</v>
      </c>
      <c r="B165" t="s">
        <v>21</v>
      </c>
      <c r="C165" t="s">
        <v>452</v>
      </c>
      <c r="D165">
        <v>44</v>
      </c>
      <c r="E165" t="s">
        <v>46</v>
      </c>
      <c r="F165" t="s">
        <v>453</v>
      </c>
      <c r="G165" t="s">
        <v>519</v>
      </c>
      <c r="H165" s="4">
        <v>18.899999999999999</v>
      </c>
      <c r="I165" s="5">
        <v>7.5</v>
      </c>
      <c r="J165" s="6">
        <v>15.317</v>
      </c>
      <c r="K165" s="7">
        <v>16.396000000000001</v>
      </c>
      <c r="L165" s="6">
        <v>16.158999999999999</v>
      </c>
      <c r="M165" s="7">
        <v>19.63</v>
      </c>
      <c r="N165" s="6">
        <v>18.905000000000001</v>
      </c>
      <c r="O165" s="7">
        <v>19.364999999999998</v>
      </c>
      <c r="P165" s="3">
        <f t="shared" si="13"/>
        <v>16.181714285714285</v>
      </c>
      <c r="Q165" s="3">
        <f t="shared" si="14"/>
        <v>19.63</v>
      </c>
      <c r="R165" s="3">
        <f t="shared" si="15"/>
        <v>7.5</v>
      </c>
      <c r="S165" s="3">
        <f t="shared" si="16"/>
        <v>12.129999999999999</v>
      </c>
      <c r="T165" s="3" cm="1">
        <f t="array" ref="T165">MAX((TRANSPOSE(I165:O165)-I165:O165)/I165:O165)</f>
        <v>1.6173333333333333</v>
      </c>
      <c r="U165" s="3" cm="1">
        <f t="array" ref="U165">MAX((J165:O165-I165:N165)/I165:N165)</f>
        <v>1.0422666666666667</v>
      </c>
      <c r="V165" s="3" cm="1">
        <f t="array" ref="V165">MIN((TRANSPOSE(I165:O165)-I165:O165)/I165:O165)</f>
        <v>-0.61793173713703509</v>
      </c>
      <c r="W165" s="3" cm="1">
        <f t="array" ref="W165">MIN((J165:O165-I165:N165)/I165:N165)</f>
        <v>-3.6933265410086492E-2</v>
      </c>
      <c r="X165" s="3">
        <v>2.0422666666666669</v>
      </c>
      <c r="Y165" s="3">
        <v>2.1861333333333333</v>
      </c>
      <c r="Z165" s="3">
        <v>2.1545333333333332</v>
      </c>
      <c r="AA165" s="3">
        <v>2.6173333333333333</v>
      </c>
      <c r="AB165" s="3">
        <v>2.5206666666666666</v>
      </c>
      <c r="AC165" s="3">
        <f t="shared" si="17"/>
        <v>2.5819999999999999</v>
      </c>
    </row>
    <row r="166" spans="1:29" x14ac:dyDescent="0.3">
      <c r="A166">
        <v>3</v>
      </c>
      <c r="B166" t="s">
        <v>21</v>
      </c>
      <c r="C166" t="s">
        <v>454</v>
      </c>
      <c r="D166">
        <v>40</v>
      </c>
      <c r="E166" t="s">
        <v>79</v>
      </c>
      <c r="F166" t="s">
        <v>455</v>
      </c>
      <c r="G166" t="s">
        <v>519</v>
      </c>
      <c r="H166" s="4">
        <v>20.399999999999999</v>
      </c>
      <c r="I166" s="5">
        <v>13.933999999999999</v>
      </c>
      <c r="J166" s="6">
        <v>18.350999999999999</v>
      </c>
      <c r="K166" s="7">
        <v>19.858000000000001</v>
      </c>
      <c r="L166" s="6">
        <v>20.03</v>
      </c>
      <c r="M166" s="7">
        <v>20.309000000000001</v>
      </c>
      <c r="N166" s="6">
        <v>22.274000000000001</v>
      </c>
      <c r="O166" s="7">
        <v>20.913</v>
      </c>
      <c r="P166" s="3">
        <f t="shared" si="13"/>
        <v>19.381285714285717</v>
      </c>
      <c r="Q166" s="3">
        <f t="shared" si="14"/>
        <v>22.274000000000001</v>
      </c>
      <c r="R166" s="3">
        <f t="shared" si="15"/>
        <v>13.933999999999999</v>
      </c>
      <c r="S166" s="3">
        <f t="shared" si="16"/>
        <v>8.3400000000000016</v>
      </c>
      <c r="T166" s="3" cm="1">
        <f t="array" ref="T166">MAX((TRANSPOSE(I166:O166)-I166:O166)/I166:O166)</f>
        <v>0.59853595521745384</v>
      </c>
      <c r="U166" s="3" cm="1">
        <f t="array" ref="U166">MAX((J166:O166-I166:N166)/I166:N166)</f>
        <v>0.31699440218171382</v>
      </c>
      <c r="V166" s="3" cm="1">
        <f t="array" ref="V166">MIN((TRANSPOSE(I166:O166)-I166:O166)/I166:O166)</f>
        <v>-0.37442758372990936</v>
      </c>
      <c r="W166" s="3" cm="1">
        <f t="array" ref="W166">MIN((J166:O166-I166:N166)/I166:N166)</f>
        <v>-6.1102630870072755E-2</v>
      </c>
      <c r="X166" s="3">
        <v>1.3169944021817137</v>
      </c>
      <c r="Y166" s="3">
        <v>1.4251471221472658</v>
      </c>
      <c r="Z166" s="3">
        <v>1.4374910291373619</v>
      </c>
      <c r="AA166" s="3">
        <v>1.4575139945457156</v>
      </c>
      <c r="AB166" s="3">
        <v>1.5985359552174538</v>
      </c>
      <c r="AC166" s="3">
        <f t="shared" si="17"/>
        <v>1.5008612028132626</v>
      </c>
    </row>
    <row r="167" spans="1:29" x14ac:dyDescent="0.3">
      <c r="A167">
        <v>2</v>
      </c>
      <c r="B167" t="s">
        <v>25</v>
      </c>
      <c r="C167" t="s">
        <v>456</v>
      </c>
      <c r="D167">
        <v>96</v>
      </c>
      <c r="E167" t="s">
        <v>457</v>
      </c>
      <c r="F167" t="s">
        <v>458</v>
      </c>
      <c r="G167" t="s">
        <v>519</v>
      </c>
      <c r="H167" s="4">
        <v>26</v>
      </c>
      <c r="I167" s="5">
        <v>23.577000000000002</v>
      </c>
      <c r="J167" s="6">
        <v>22.058</v>
      </c>
      <c r="K167" s="7">
        <v>23.030999999999999</v>
      </c>
      <c r="L167" s="6">
        <v>23.658999999999999</v>
      </c>
      <c r="M167" s="7">
        <v>24.838000000000001</v>
      </c>
      <c r="N167" s="6">
        <v>25.221</v>
      </c>
      <c r="O167" s="7">
        <v>25.364999999999998</v>
      </c>
      <c r="P167" s="3">
        <f t="shared" si="13"/>
        <v>23.964142857142857</v>
      </c>
      <c r="Q167" s="3">
        <f t="shared" si="14"/>
        <v>25.364999999999998</v>
      </c>
      <c r="R167" s="3">
        <f t="shared" si="15"/>
        <v>22.058</v>
      </c>
      <c r="S167" s="3">
        <f t="shared" si="16"/>
        <v>3.3069999999999986</v>
      </c>
      <c r="T167" s="3" cm="1">
        <f t="array" ref="T167">MAX((TRANSPOSE(I167:O167)-I167:O167)/I167:O167)</f>
        <v>0.1499229304560703</v>
      </c>
      <c r="U167" s="3" cm="1">
        <f t="array" ref="U167">MAX((J167:O167-I167:N167)/I167:N167)</f>
        <v>4.9833044507375718E-2</v>
      </c>
      <c r="V167" s="3" cm="1">
        <f t="array" ref="V167">MIN((TRANSPOSE(I167:O167)-I167:O167)/I167:O167)</f>
        <v>-0.13037650305539125</v>
      </c>
      <c r="W167" s="3" cm="1">
        <f t="array" ref="W167">MIN((J167:O167-I167:N167)/I167:N167)</f>
        <v>-6.4427195996097975E-2</v>
      </c>
      <c r="X167" s="3">
        <v>0.93557280400390208</v>
      </c>
      <c r="Y167" s="3">
        <v>0.97684183738389097</v>
      </c>
      <c r="Z167" s="3">
        <v>1.0034779658141408</v>
      </c>
      <c r="AA167" s="3">
        <v>1.0534843279467276</v>
      </c>
      <c r="AB167" s="3">
        <v>1.0697289731518005</v>
      </c>
      <c r="AC167" s="3">
        <f t="shared" si="17"/>
        <v>1.0758366204351697</v>
      </c>
    </row>
    <row r="168" spans="1:29" x14ac:dyDescent="0.3">
      <c r="A168">
        <v>3</v>
      </c>
      <c r="B168" t="s">
        <v>21</v>
      </c>
      <c r="C168" t="s">
        <v>459</v>
      </c>
      <c r="D168">
        <v>36</v>
      </c>
      <c r="E168" t="s">
        <v>156</v>
      </c>
      <c r="F168" t="s">
        <v>460</v>
      </c>
      <c r="G168" t="s">
        <v>519</v>
      </c>
      <c r="H168" s="4">
        <v>81.3</v>
      </c>
      <c r="I168" s="5">
        <v>77.087999999999994</v>
      </c>
      <c r="J168" s="6">
        <v>78.683000000000007</v>
      </c>
      <c r="K168" s="7">
        <v>79.316999999999993</v>
      </c>
      <c r="L168" s="6">
        <v>78.472999999999999</v>
      </c>
      <c r="M168" s="7">
        <v>81.445999999999998</v>
      </c>
      <c r="N168" s="6">
        <v>81.751999999999995</v>
      </c>
      <c r="O168" s="7">
        <v>79.600999999999999</v>
      </c>
      <c r="P168" s="3">
        <f t="shared" si="13"/>
        <v>79.480000000000018</v>
      </c>
      <c r="Q168" s="3">
        <f t="shared" si="14"/>
        <v>81.751999999999995</v>
      </c>
      <c r="R168" s="3">
        <f t="shared" si="15"/>
        <v>77.087999999999994</v>
      </c>
      <c r="S168" s="3">
        <f t="shared" si="16"/>
        <v>4.6640000000000015</v>
      </c>
      <c r="T168" s="3" cm="1">
        <f t="array" ref="T168">MAX((TRANSPOSE(I168:O168)-I168:O168)/I168:O168)</f>
        <v>6.0502283105022855E-2</v>
      </c>
      <c r="U168" s="3" cm="1">
        <f t="array" ref="U168">MAX((J168:O168-I168:N168)/I168:N168)</f>
        <v>3.788564219540478E-2</v>
      </c>
      <c r="V168" s="3" cm="1">
        <f t="array" ref="V168">MIN((TRANSPOSE(I168:O168)-I168:O168)/I168:O168)</f>
        <v>-5.7050592034445659E-2</v>
      </c>
      <c r="W168" s="3" cm="1">
        <f t="array" ref="W168">MIN((J168:O168-I168:N168)/I168:N168)</f>
        <v>-2.6311282904393732E-2</v>
      </c>
      <c r="X168" s="3">
        <v>1.0206906392694066</v>
      </c>
      <c r="Y168" s="3">
        <v>1.0289150062266501</v>
      </c>
      <c r="Z168" s="3">
        <v>1.0179664798671648</v>
      </c>
      <c r="AA168" s="3">
        <v>1.0565327936903279</v>
      </c>
      <c r="AB168" s="3">
        <v>1.0605022831050228</v>
      </c>
      <c r="AC168" s="3">
        <f t="shared" si="17"/>
        <v>1.032599107513491</v>
      </c>
    </row>
    <row r="169" spans="1:29" x14ac:dyDescent="0.3">
      <c r="A169">
        <v>2</v>
      </c>
      <c r="B169" t="s">
        <v>25</v>
      </c>
      <c r="C169" t="s">
        <v>461</v>
      </c>
      <c r="D169">
        <v>90</v>
      </c>
      <c r="E169" t="s">
        <v>462</v>
      </c>
      <c r="F169" t="s">
        <v>463</v>
      </c>
      <c r="G169" t="s">
        <v>519</v>
      </c>
      <c r="H169" s="4">
        <v>9.9</v>
      </c>
      <c r="I169" s="5">
        <v>8.3000000000000007</v>
      </c>
      <c r="J169" s="6">
        <v>10.766999999999999</v>
      </c>
      <c r="K169" s="7">
        <v>9.0950000000000006</v>
      </c>
      <c r="L169" s="6">
        <v>9.75</v>
      </c>
      <c r="M169" s="7">
        <v>8.2690000000000001</v>
      </c>
      <c r="N169" s="6">
        <v>8.5340000000000007</v>
      </c>
      <c r="O169" s="7">
        <v>10.478999999999999</v>
      </c>
      <c r="P169" s="3">
        <f t="shared" si="13"/>
        <v>9.3134285714285703</v>
      </c>
      <c r="Q169" s="3">
        <f t="shared" si="14"/>
        <v>10.766999999999999</v>
      </c>
      <c r="R169" s="3">
        <f t="shared" si="15"/>
        <v>8.2690000000000001</v>
      </c>
      <c r="S169" s="3">
        <f t="shared" si="16"/>
        <v>2.4979999999999993</v>
      </c>
      <c r="T169" s="3" cm="1">
        <f t="array" ref="T169">MAX((TRANSPOSE(I169:O169)-I169:O169)/I169:O169)</f>
        <v>0.30209215140887646</v>
      </c>
      <c r="U169" s="3" cm="1">
        <f t="array" ref="U169">MAX((J169:O169-I169:N169)/I169:N169)</f>
        <v>0.29722891566265042</v>
      </c>
      <c r="V169" s="3" cm="1">
        <f t="array" ref="V169">MIN((TRANSPOSE(I169:O169)-I169:O169)/I169:O169)</f>
        <v>-0.23200520107736597</v>
      </c>
      <c r="W169" s="3" cm="1">
        <f t="array" ref="W169">MIN((J169:O169-I169:N169)/I169:N169)</f>
        <v>-0.15528930992848508</v>
      </c>
      <c r="X169" s="3">
        <v>1.2972289156626504</v>
      </c>
      <c r="Y169" s="3">
        <v>1.0957831325301204</v>
      </c>
      <c r="Z169" s="3">
        <v>1.1746987951807228</v>
      </c>
      <c r="AA169" s="3">
        <v>0.99626506024096384</v>
      </c>
      <c r="AB169" s="3">
        <v>1.0281927710843373</v>
      </c>
      <c r="AC169" s="3">
        <f t="shared" si="17"/>
        <v>1.2625301204819275</v>
      </c>
    </row>
    <row r="170" spans="1:29" x14ac:dyDescent="0.3">
      <c r="A170">
        <v>3</v>
      </c>
      <c r="B170" t="s">
        <v>21</v>
      </c>
      <c r="C170" t="s">
        <v>464</v>
      </c>
      <c r="D170">
        <v>74</v>
      </c>
      <c r="E170" t="s">
        <v>353</v>
      </c>
      <c r="F170" t="s">
        <v>465</v>
      </c>
      <c r="G170" t="s">
        <v>519</v>
      </c>
      <c r="H170" s="4">
        <v>45.3</v>
      </c>
      <c r="I170" s="5">
        <v>41.438000000000002</v>
      </c>
      <c r="J170" s="6">
        <v>40.180999999999997</v>
      </c>
      <c r="K170" s="7">
        <v>43.511000000000003</v>
      </c>
      <c r="L170" s="6">
        <v>42.226999999999997</v>
      </c>
      <c r="M170" s="7">
        <v>44.737000000000002</v>
      </c>
      <c r="N170" s="6">
        <v>43.277000000000001</v>
      </c>
      <c r="O170" s="7">
        <v>45.837000000000003</v>
      </c>
      <c r="P170" s="3">
        <f t="shared" si="13"/>
        <v>43.029714285714284</v>
      </c>
      <c r="Q170" s="3">
        <f t="shared" si="14"/>
        <v>45.837000000000003</v>
      </c>
      <c r="R170" s="3">
        <f t="shared" si="15"/>
        <v>40.180999999999997</v>
      </c>
      <c r="S170" s="3">
        <f t="shared" si="16"/>
        <v>5.6560000000000059</v>
      </c>
      <c r="T170" s="3" cm="1">
        <f t="array" ref="T170">MAX((TRANSPOSE(I170:O170)-I170:O170)/I170:O170)</f>
        <v>0.1407630472113687</v>
      </c>
      <c r="U170" s="3" cm="1">
        <f t="array" ref="U170">MAX((J170:O170-I170:N170)/I170:N170)</f>
        <v>8.2874990667230919E-2</v>
      </c>
      <c r="V170" s="3" cm="1">
        <f t="array" ref="V170">MIN((TRANSPOSE(I170:O170)-I170:O170)/I170:O170)</f>
        <v>-0.12339376486244749</v>
      </c>
      <c r="W170" s="3" cm="1">
        <f t="array" ref="W170">MIN((J170:O170-I170:N170)/I170:N170)</f>
        <v>-3.2635178934662598E-2</v>
      </c>
      <c r="X170" s="3">
        <v>0.96966552439789555</v>
      </c>
      <c r="Y170" s="3">
        <v>1.0500265456827067</v>
      </c>
      <c r="Z170" s="3">
        <v>1.019040494232347</v>
      </c>
      <c r="AA170" s="3">
        <v>1.0796129156812588</v>
      </c>
      <c r="AB170" s="3">
        <v>1.0443795549978281</v>
      </c>
      <c r="AC170" s="3">
        <f t="shared" si="17"/>
        <v>1.1061585983879532</v>
      </c>
    </row>
    <row r="171" spans="1:29" x14ac:dyDescent="0.3">
      <c r="A171">
        <v>3</v>
      </c>
      <c r="B171" t="s">
        <v>21</v>
      </c>
      <c r="C171" t="s">
        <v>466</v>
      </c>
      <c r="D171">
        <v>31</v>
      </c>
      <c r="E171" t="s">
        <v>312</v>
      </c>
      <c r="F171" t="s">
        <v>467</v>
      </c>
      <c r="G171" t="s">
        <v>519</v>
      </c>
      <c r="H171" s="4">
        <v>58.1</v>
      </c>
      <c r="I171" s="5">
        <v>64.216999999999999</v>
      </c>
      <c r="J171" s="6">
        <v>54.218000000000004</v>
      </c>
      <c r="K171" s="7">
        <v>56.383000000000003</v>
      </c>
      <c r="L171" s="6">
        <v>51.417000000000002</v>
      </c>
      <c r="M171" s="7">
        <v>58.085999999999999</v>
      </c>
      <c r="N171" s="6">
        <v>52.226999999999997</v>
      </c>
      <c r="O171" s="7">
        <v>57.241</v>
      </c>
      <c r="P171" s="3">
        <f t="shared" si="13"/>
        <v>56.255571428571429</v>
      </c>
      <c r="Q171" s="3">
        <f t="shared" si="14"/>
        <v>64.216999999999999</v>
      </c>
      <c r="R171" s="3">
        <f t="shared" si="15"/>
        <v>51.417000000000002</v>
      </c>
      <c r="S171" s="3">
        <f t="shared" si="16"/>
        <v>12.799999999999997</v>
      </c>
      <c r="T171" s="3" cm="1">
        <f t="array" ref="T171">MAX((TRANSPOSE(I171:O171)-I171:O171)/I171:O171)</f>
        <v>0.24894490149172446</v>
      </c>
      <c r="U171" s="3" cm="1">
        <f t="array" ref="U171">MAX((J171:O171-I171:N171)/I171:N171)</f>
        <v>0.12970418344127421</v>
      </c>
      <c r="V171" s="3" cm="1">
        <f t="array" ref="V171">MIN((TRANSPOSE(I171:O171)-I171:O171)/I171:O171)</f>
        <v>-0.19932416649796778</v>
      </c>
      <c r="W171" s="3" cm="1">
        <f t="array" ref="W171">MIN((J171:O171-I171:N171)/I171:N171)</f>
        <v>-0.15570643287602964</v>
      </c>
      <c r="X171" s="3">
        <v>0.84429356712397041</v>
      </c>
      <c r="Y171" s="3">
        <v>0.87800738122304067</v>
      </c>
      <c r="Z171" s="3">
        <v>0.8006758335020322</v>
      </c>
      <c r="AA171" s="3">
        <v>0.90452683868757489</v>
      </c>
      <c r="AB171" s="3">
        <v>0.81328931591323161</v>
      </c>
      <c r="AC171" s="3">
        <f t="shared" si="17"/>
        <v>0.89136832925860754</v>
      </c>
    </row>
    <row r="172" spans="1:29" x14ac:dyDescent="0.3">
      <c r="A172">
        <v>3</v>
      </c>
      <c r="B172" t="s">
        <v>21</v>
      </c>
      <c r="C172" t="s">
        <v>468</v>
      </c>
      <c r="D172">
        <v>76</v>
      </c>
      <c r="E172" t="s">
        <v>422</v>
      </c>
      <c r="F172" t="s">
        <v>469</v>
      </c>
      <c r="G172" t="s">
        <v>519</v>
      </c>
      <c r="H172" s="4">
        <v>15.9</v>
      </c>
      <c r="I172" s="5">
        <v>15.005000000000001</v>
      </c>
      <c r="J172" s="6">
        <v>14.643000000000001</v>
      </c>
      <c r="K172" s="7">
        <v>15.819000000000001</v>
      </c>
      <c r="L172" s="6">
        <v>15.917</v>
      </c>
      <c r="M172" s="7">
        <v>17.14</v>
      </c>
      <c r="N172" s="6">
        <v>15.326000000000001</v>
      </c>
      <c r="O172" s="7">
        <v>14.718999999999999</v>
      </c>
      <c r="P172" s="3">
        <f t="shared" si="13"/>
        <v>15.509857142857141</v>
      </c>
      <c r="Q172" s="3">
        <f t="shared" si="14"/>
        <v>17.14</v>
      </c>
      <c r="R172" s="3">
        <f t="shared" si="15"/>
        <v>14.643000000000001</v>
      </c>
      <c r="S172" s="3">
        <f t="shared" si="16"/>
        <v>2.4969999999999999</v>
      </c>
      <c r="T172" s="3" cm="1">
        <f t="array" ref="T172">MAX((TRANSPOSE(I172:O172)-I172:O172)/I172:O172)</f>
        <v>0.17052516560814041</v>
      </c>
      <c r="U172" s="3" cm="1">
        <f t="array" ref="U172">MAX((J172:O172-I172:N172)/I172:N172)</f>
        <v>8.0311411595984442E-2</v>
      </c>
      <c r="V172" s="3" cm="1">
        <f t="array" ref="V172">MIN((TRANSPOSE(I172:O172)-I172:O172)/I172:O172)</f>
        <v>-0.14568261376896149</v>
      </c>
      <c r="W172" s="3" cm="1">
        <f t="array" ref="W172">MIN((J172:O172-I172:N172)/I172:N172)</f>
        <v>-0.10583430571761961</v>
      </c>
      <c r="X172" s="3">
        <v>0.97587470843052315</v>
      </c>
      <c r="Y172" s="3">
        <v>1.0542485838053981</v>
      </c>
      <c r="Z172" s="3">
        <v>1.0607797400866377</v>
      </c>
      <c r="AA172" s="3">
        <v>1.1422859046984339</v>
      </c>
      <c r="AB172" s="3">
        <v>1.021392869043652</v>
      </c>
      <c r="AC172" s="3">
        <f t="shared" si="17"/>
        <v>0.98093968677107624</v>
      </c>
    </row>
    <row r="173" spans="1:29" x14ac:dyDescent="0.3">
      <c r="A173">
        <v>3</v>
      </c>
      <c r="B173" t="s">
        <v>21</v>
      </c>
      <c r="C173" t="s">
        <v>470</v>
      </c>
      <c r="D173">
        <v>75</v>
      </c>
      <c r="E173" t="s">
        <v>397</v>
      </c>
      <c r="F173" t="s">
        <v>471</v>
      </c>
      <c r="G173" t="s">
        <v>519</v>
      </c>
      <c r="H173" s="4">
        <v>19.399999999999999</v>
      </c>
      <c r="I173" s="5">
        <v>12.3</v>
      </c>
      <c r="J173" s="6">
        <v>16.664999999999999</v>
      </c>
      <c r="K173" s="7">
        <v>17.838000000000001</v>
      </c>
      <c r="L173" s="6">
        <v>19.788</v>
      </c>
      <c r="M173" s="7">
        <v>20.309000000000001</v>
      </c>
      <c r="N173" s="6">
        <v>19.536999999999999</v>
      </c>
      <c r="O173" s="7">
        <v>18.977</v>
      </c>
      <c r="P173" s="3">
        <f t="shared" si="13"/>
        <v>17.916285714285713</v>
      </c>
      <c r="Q173" s="3">
        <f t="shared" si="14"/>
        <v>20.309000000000001</v>
      </c>
      <c r="R173" s="3">
        <f t="shared" si="15"/>
        <v>12.3</v>
      </c>
      <c r="S173" s="3">
        <f t="shared" si="16"/>
        <v>8.0090000000000003</v>
      </c>
      <c r="T173" s="3" cm="1">
        <f t="array" ref="T173">MAX((TRANSPOSE(I173:O173)-I173:O173)/I173:O173)</f>
        <v>0.65113821138211381</v>
      </c>
      <c r="U173" s="3" cm="1">
        <f t="array" ref="U173">MAX((J173:O173-I173:N173)/I173:N173)</f>
        <v>0.35487804878048768</v>
      </c>
      <c r="V173" s="3" cm="1">
        <f t="array" ref="V173">MIN((TRANSPOSE(I173:O173)-I173:O173)/I173:O173)</f>
        <v>-0.39435718154512778</v>
      </c>
      <c r="W173" s="3" cm="1">
        <f t="array" ref="W173">MIN((J173:O173-I173:N173)/I173:N173)</f>
        <v>-3.8012703727411591E-2</v>
      </c>
      <c r="X173" s="3">
        <v>1.3548780487804877</v>
      </c>
      <c r="Y173" s="3">
        <v>1.4502439024390243</v>
      </c>
      <c r="Z173" s="3">
        <v>1.6087804878048779</v>
      </c>
      <c r="AA173" s="3">
        <v>1.6511382113821138</v>
      </c>
      <c r="AB173" s="3">
        <v>1.5883739837398372</v>
      </c>
      <c r="AC173" s="3">
        <f t="shared" si="17"/>
        <v>1.5428455284552844</v>
      </c>
    </row>
    <row r="174" spans="1:29" x14ac:dyDescent="0.3">
      <c r="A174">
        <v>2</v>
      </c>
      <c r="B174" t="s">
        <v>25</v>
      </c>
      <c r="C174" t="s">
        <v>472</v>
      </c>
      <c r="D174">
        <v>7</v>
      </c>
      <c r="E174" t="s">
        <v>473</v>
      </c>
      <c r="F174" t="s">
        <v>474</v>
      </c>
      <c r="G174" t="s">
        <v>519</v>
      </c>
      <c r="H174" s="4">
        <v>25.5</v>
      </c>
      <c r="I174" s="5">
        <v>9.5</v>
      </c>
      <c r="J174" s="6">
        <v>15.991</v>
      </c>
      <c r="K174" s="7">
        <v>18.992000000000001</v>
      </c>
      <c r="L174" s="6">
        <v>22.933</v>
      </c>
      <c r="M174" s="7">
        <v>25.516999999999999</v>
      </c>
      <c r="N174" s="6">
        <v>24.8</v>
      </c>
      <c r="O174" s="7">
        <v>24.396999999999998</v>
      </c>
      <c r="P174" s="3">
        <f t="shared" si="13"/>
        <v>20.304285714285715</v>
      </c>
      <c r="Q174" s="3">
        <f t="shared" si="14"/>
        <v>25.516999999999999</v>
      </c>
      <c r="R174" s="3">
        <f t="shared" si="15"/>
        <v>9.5</v>
      </c>
      <c r="S174" s="3">
        <f t="shared" si="16"/>
        <v>16.016999999999999</v>
      </c>
      <c r="T174" s="3" cm="1">
        <f t="array" ref="T174">MAX((TRANSPOSE(I174:O174)-I174:O174)/I174:O174)</f>
        <v>1.6859999999999999</v>
      </c>
      <c r="U174" s="3" cm="1">
        <f t="array" ref="U174">MAX((J174:O174-I174:N174)/I174:N174)</f>
        <v>0.68326315789473679</v>
      </c>
      <c r="V174" s="3" cm="1">
        <f t="array" ref="V174">MIN((TRANSPOSE(I174:O174)-I174:O174)/I174:O174)</f>
        <v>-0.6276991809381981</v>
      </c>
      <c r="W174" s="3" cm="1">
        <f t="array" ref="W174">MIN((J174:O174-I174:N174)/I174:N174)</f>
        <v>-2.8098914449190687E-2</v>
      </c>
      <c r="X174" s="3">
        <v>1.6832631578947368</v>
      </c>
      <c r="Y174" s="3">
        <v>1.9991578947368422</v>
      </c>
      <c r="Z174" s="3">
        <v>2.4140000000000001</v>
      </c>
      <c r="AA174" s="3">
        <v>2.6859999999999999</v>
      </c>
      <c r="AB174" s="3">
        <v>2.6105263157894738</v>
      </c>
      <c r="AC174" s="3">
        <f t="shared" si="17"/>
        <v>2.5681052631578947</v>
      </c>
    </row>
    <row r="175" spans="1:29" x14ac:dyDescent="0.3">
      <c r="A175">
        <v>3</v>
      </c>
      <c r="B175" t="s">
        <v>21</v>
      </c>
      <c r="C175" t="s">
        <v>475</v>
      </c>
      <c r="D175">
        <v>45</v>
      </c>
      <c r="E175" t="s">
        <v>217</v>
      </c>
      <c r="F175" t="s">
        <v>476</v>
      </c>
      <c r="G175" t="s">
        <v>519</v>
      </c>
      <c r="H175" s="4">
        <v>24</v>
      </c>
      <c r="I175" s="5">
        <v>41.438000000000002</v>
      </c>
      <c r="J175" s="6">
        <v>32.594000000000001</v>
      </c>
      <c r="K175" s="7">
        <v>28.222999999999999</v>
      </c>
      <c r="L175" s="6">
        <v>27.045999999999999</v>
      </c>
      <c r="M175" s="7">
        <v>25.97</v>
      </c>
      <c r="N175" s="6">
        <v>25.641999999999999</v>
      </c>
      <c r="O175" s="7">
        <v>23.428999999999998</v>
      </c>
      <c r="P175" s="3">
        <f t="shared" si="13"/>
        <v>29.191714285714287</v>
      </c>
      <c r="Q175" s="3">
        <f t="shared" si="14"/>
        <v>41.438000000000002</v>
      </c>
      <c r="R175" s="3">
        <f t="shared" si="15"/>
        <v>23.428999999999998</v>
      </c>
      <c r="S175" s="3">
        <f t="shared" si="16"/>
        <v>18.009000000000004</v>
      </c>
      <c r="T175" s="3" cm="1">
        <f t="array" ref="T175">MAX((TRANSPOSE(I175:O175)-I175:O175)/I175:O175)</f>
        <v>0.76866276836399361</v>
      </c>
      <c r="U175" s="3" cm="1">
        <f t="array" ref="U175">MAX((J175:O175-I175:N175)/I175:N175)</f>
        <v>-1.2629957643434711E-2</v>
      </c>
      <c r="V175" s="3" cm="1">
        <f t="array" ref="V175">MIN((TRANSPOSE(I175:O175)-I175:O175)/I175:O175)</f>
        <v>-0.43460109078623493</v>
      </c>
      <c r="W175" s="3" cm="1">
        <f t="array" ref="W175">MIN((J175:O175-I175:N175)/I175:N175)</f>
        <v>-0.2134272889618225</v>
      </c>
      <c r="X175" s="3">
        <v>0.7865727110381775</v>
      </c>
      <c r="Y175" s="3">
        <v>0.68108982093730386</v>
      </c>
      <c r="Z175" s="3">
        <v>0.65268594044114092</v>
      </c>
      <c r="AA175" s="3">
        <v>0.62671943626622895</v>
      </c>
      <c r="AB175" s="3">
        <v>0.61880399633186922</v>
      </c>
      <c r="AC175" s="3">
        <f t="shared" si="17"/>
        <v>0.56539890921376512</v>
      </c>
    </row>
    <row r="176" spans="1:29" x14ac:dyDescent="0.3">
      <c r="A176">
        <v>3</v>
      </c>
      <c r="B176" t="s">
        <v>21</v>
      </c>
      <c r="C176" t="s">
        <v>477</v>
      </c>
      <c r="D176">
        <v>35</v>
      </c>
      <c r="E176" t="s">
        <v>101</v>
      </c>
      <c r="F176" t="s">
        <v>478</v>
      </c>
      <c r="G176" t="s">
        <v>519</v>
      </c>
      <c r="H176" s="4">
        <v>84.7</v>
      </c>
      <c r="I176" s="5">
        <v>79.662999999999997</v>
      </c>
      <c r="J176" s="6">
        <v>79.116</v>
      </c>
      <c r="K176" s="7">
        <v>79.721999999999994</v>
      </c>
      <c r="L176" s="6">
        <v>83.424999999999997</v>
      </c>
      <c r="M176" s="7">
        <v>81.828999999999994</v>
      </c>
      <c r="N176" s="6">
        <v>82.147000000000006</v>
      </c>
      <c r="O176" s="7">
        <v>82.533000000000001</v>
      </c>
      <c r="P176" s="3">
        <f t="shared" si="13"/>
        <v>81.204999999999998</v>
      </c>
      <c r="Q176" s="3">
        <f t="shared" si="14"/>
        <v>83.424999999999997</v>
      </c>
      <c r="R176" s="3">
        <f t="shared" si="15"/>
        <v>79.116</v>
      </c>
      <c r="S176" s="3">
        <f t="shared" si="16"/>
        <v>4.3089999999999975</v>
      </c>
      <c r="T176" s="3" cm="1">
        <f t="array" ref="T176">MAX((TRANSPOSE(I176:O176)-I176:O176)/I176:O176)</f>
        <v>5.4464330855958309E-2</v>
      </c>
      <c r="U176" s="3" cm="1">
        <f t="array" ref="U176">MAX((J176:O176-I176:N176)/I176:N176)</f>
        <v>4.6448909962118402E-2</v>
      </c>
      <c r="V176" s="3" cm="1">
        <f t="array" ref="V176">MIN((TRANSPOSE(I176:O176)-I176:O176)/I176:O176)</f>
        <v>-5.1651183697932243E-2</v>
      </c>
      <c r="W176" s="3" cm="1">
        <f t="array" ref="W176">MIN((J176:O176-I176:N176)/I176:N176)</f>
        <v>-1.9130955948456742E-2</v>
      </c>
      <c r="X176" s="3">
        <v>0.99313357518546885</v>
      </c>
      <c r="Y176" s="3">
        <v>1.000740619861165</v>
      </c>
      <c r="Z176" s="3">
        <v>1.0472239308085309</v>
      </c>
      <c r="AA176" s="3">
        <v>1.0271895359200631</v>
      </c>
      <c r="AB176" s="3">
        <v>1.0311813514429535</v>
      </c>
      <c r="AC176" s="3">
        <f t="shared" si="17"/>
        <v>1.036026762738034</v>
      </c>
    </row>
    <row r="177" spans="1:29" x14ac:dyDescent="0.3">
      <c r="A177">
        <v>3</v>
      </c>
      <c r="B177" t="s">
        <v>21</v>
      </c>
      <c r="C177" t="s">
        <v>479</v>
      </c>
      <c r="D177">
        <v>68</v>
      </c>
      <c r="E177" t="s">
        <v>480</v>
      </c>
      <c r="F177" t="s">
        <v>481</v>
      </c>
      <c r="G177" t="s">
        <v>519</v>
      </c>
      <c r="H177" s="4">
        <v>22.5</v>
      </c>
      <c r="I177" s="5">
        <v>5.9</v>
      </c>
      <c r="J177" s="6">
        <v>12.564</v>
      </c>
      <c r="K177" s="7">
        <v>17.838000000000001</v>
      </c>
      <c r="L177" s="6">
        <v>20.998000000000001</v>
      </c>
      <c r="M177" s="7">
        <v>23.478999999999999</v>
      </c>
      <c r="N177" s="6">
        <v>24.379000000000001</v>
      </c>
      <c r="O177" s="7">
        <v>23.042000000000002</v>
      </c>
      <c r="P177" s="3">
        <f t="shared" si="13"/>
        <v>18.314285714285713</v>
      </c>
      <c r="Q177" s="3">
        <f t="shared" si="14"/>
        <v>24.379000000000001</v>
      </c>
      <c r="R177" s="3">
        <f t="shared" si="15"/>
        <v>5.9</v>
      </c>
      <c r="S177" s="3">
        <f t="shared" si="16"/>
        <v>18.478999999999999</v>
      </c>
      <c r="T177" s="3" cm="1">
        <f t="array" ref="T177">MAX((TRANSPOSE(I177:O177)-I177:O177)/I177:O177)</f>
        <v>3.1320338983050844</v>
      </c>
      <c r="U177" s="3" cm="1">
        <f t="array" ref="U177">MAX((J177:O177-I177:N177)/I177:N177)</f>
        <v>1.1294915254237288</v>
      </c>
      <c r="V177" s="3" cm="1">
        <f t="array" ref="V177">MIN((TRANSPOSE(I177:O177)-I177:O177)/I177:O177)</f>
        <v>-0.75798843266745963</v>
      </c>
      <c r="W177" s="3" cm="1">
        <f t="array" ref="W177">MIN((J177:O177-I177:N177)/I177:N177)</f>
        <v>-5.4842282292136661E-2</v>
      </c>
      <c r="X177" s="3">
        <v>2.1294915254237288</v>
      </c>
      <c r="Y177" s="3">
        <v>3.0233898305084748</v>
      </c>
      <c r="Z177" s="3">
        <v>3.5589830508474578</v>
      </c>
      <c r="AA177" s="3">
        <v>3.9794915254237284</v>
      </c>
      <c r="AB177" s="3">
        <v>4.1320338983050844</v>
      </c>
      <c r="AC177" s="3">
        <f t="shared" si="17"/>
        <v>3.9054237288135591</v>
      </c>
    </row>
    <row r="178" spans="1:29" x14ac:dyDescent="0.3">
      <c r="A178">
        <v>2</v>
      </c>
      <c r="B178" t="s">
        <v>25</v>
      </c>
      <c r="C178" t="s">
        <v>482</v>
      </c>
      <c r="D178">
        <v>8</v>
      </c>
      <c r="E178" t="s">
        <v>483</v>
      </c>
      <c r="F178" t="s">
        <v>484</v>
      </c>
      <c r="G178" t="s">
        <v>519</v>
      </c>
      <c r="H178" s="4">
        <v>15.6</v>
      </c>
      <c r="I178" s="5">
        <v>9.1</v>
      </c>
      <c r="J178" s="6">
        <v>12.789</v>
      </c>
      <c r="K178" s="7">
        <v>13.057</v>
      </c>
      <c r="L178" s="6">
        <v>16.158999999999999</v>
      </c>
      <c r="M178" s="7">
        <v>17.14</v>
      </c>
      <c r="N178" s="6">
        <v>16.379000000000001</v>
      </c>
      <c r="O178" s="7">
        <v>14.913</v>
      </c>
      <c r="P178" s="3">
        <f t="shared" si="13"/>
        <v>14.219571428571429</v>
      </c>
      <c r="Q178" s="3">
        <f t="shared" si="14"/>
        <v>17.14</v>
      </c>
      <c r="R178" s="3">
        <f t="shared" si="15"/>
        <v>9.1</v>
      </c>
      <c r="S178" s="3">
        <f t="shared" si="16"/>
        <v>8.0400000000000009</v>
      </c>
      <c r="T178" s="3" cm="1">
        <f t="array" ref="T178">MAX((TRANSPOSE(I178:O178)-I178:O178)/I178:O178)</f>
        <v>0.8835164835164836</v>
      </c>
      <c r="U178" s="3" cm="1">
        <f t="array" ref="U178">MAX((J178:O178-I178:N178)/I178:N178)</f>
        <v>0.4053846153846154</v>
      </c>
      <c r="V178" s="3" cm="1">
        <f t="array" ref="V178">MIN((TRANSPOSE(I178:O178)-I178:O178)/I178:O178)</f>
        <v>-0.46907817969661614</v>
      </c>
      <c r="W178" s="3" cm="1">
        <f t="array" ref="W178">MIN((J178:O178-I178:N178)/I178:N178)</f>
        <v>-8.9504853776176868E-2</v>
      </c>
      <c r="X178" s="3">
        <v>1.4053846153846155</v>
      </c>
      <c r="Y178" s="3">
        <v>1.4348351648351649</v>
      </c>
      <c r="Z178" s="3">
        <v>1.7757142857142856</v>
      </c>
      <c r="AA178" s="3">
        <v>1.8835164835164837</v>
      </c>
      <c r="AB178" s="3">
        <v>1.7998901098901101</v>
      </c>
      <c r="AC178" s="3">
        <f t="shared" si="17"/>
        <v>1.6387912087912089</v>
      </c>
    </row>
    <row r="179" spans="1:29" x14ac:dyDescent="0.3">
      <c r="A179">
        <v>2</v>
      </c>
      <c r="B179" t="s">
        <v>25</v>
      </c>
      <c r="C179" t="s">
        <v>485</v>
      </c>
      <c r="D179">
        <v>81</v>
      </c>
      <c r="E179" t="s">
        <v>486</v>
      </c>
      <c r="F179" t="s">
        <v>487</v>
      </c>
      <c r="G179" t="s">
        <v>519</v>
      </c>
      <c r="H179" s="4">
        <v>16.600000000000001</v>
      </c>
      <c r="I179" s="5">
        <v>9.5</v>
      </c>
      <c r="J179" s="6">
        <v>10.766999999999999</v>
      </c>
      <c r="K179" s="7">
        <v>11.324</v>
      </c>
      <c r="L179" s="6">
        <v>13.747</v>
      </c>
      <c r="M179" s="7">
        <v>16.46</v>
      </c>
      <c r="N179" s="6">
        <v>17.641999999999999</v>
      </c>
      <c r="O179" s="7">
        <v>17.234999999999999</v>
      </c>
      <c r="P179" s="3">
        <f t="shared" si="13"/>
        <v>13.810714285714285</v>
      </c>
      <c r="Q179" s="3">
        <f t="shared" si="14"/>
        <v>17.641999999999999</v>
      </c>
      <c r="R179" s="3">
        <f t="shared" si="15"/>
        <v>9.5</v>
      </c>
      <c r="S179" s="3">
        <f t="shared" si="16"/>
        <v>8.1419999999999995</v>
      </c>
      <c r="T179" s="3" cm="1">
        <f t="array" ref="T179">MAX((TRANSPOSE(I179:O179)-I179:O179)/I179:O179)</f>
        <v>0.85705263157894729</v>
      </c>
      <c r="U179" s="3" cm="1">
        <f t="array" ref="U179">MAX((J179:O179-I179:N179)/I179:N179)</f>
        <v>0.21397032850582834</v>
      </c>
      <c r="V179" s="3" cm="1">
        <f t="array" ref="V179">MIN((TRANSPOSE(I179:O179)-I179:O179)/I179:O179)</f>
        <v>-0.46151230019272188</v>
      </c>
      <c r="W179" s="3" cm="1">
        <f t="array" ref="W179">MIN((J179:O179-I179:N179)/I179:N179)</f>
        <v>-2.3069946718059179E-2</v>
      </c>
      <c r="X179" s="3">
        <v>1.1333684210526316</v>
      </c>
      <c r="Y179" s="3">
        <v>1.1919999999999999</v>
      </c>
      <c r="Z179" s="3">
        <v>1.4470526315789474</v>
      </c>
      <c r="AA179" s="3">
        <v>1.7326315789473685</v>
      </c>
      <c r="AB179" s="3">
        <v>1.8570526315789473</v>
      </c>
      <c r="AC179" s="3">
        <f t="shared" si="17"/>
        <v>1.8142105263157895</v>
      </c>
    </row>
    <row r="180" spans="1:29" x14ac:dyDescent="0.3">
      <c r="A180">
        <v>2</v>
      </c>
      <c r="B180" t="s">
        <v>25</v>
      </c>
      <c r="C180" t="s">
        <v>488</v>
      </c>
      <c r="D180">
        <v>65</v>
      </c>
      <c r="E180" t="s">
        <v>64</v>
      </c>
      <c r="F180" t="s">
        <v>489</v>
      </c>
      <c r="G180" t="s">
        <v>519</v>
      </c>
      <c r="H180" s="4">
        <v>11.5</v>
      </c>
      <c r="I180" s="5">
        <v>10.7</v>
      </c>
      <c r="J180" s="6">
        <v>14.98</v>
      </c>
      <c r="K180" s="7">
        <v>13.552</v>
      </c>
      <c r="L180" s="6">
        <v>11.223000000000001</v>
      </c>
      <c r="M180" s="7">
        <v>10.172000000000001</v>
      </c>
      <c r="N180" s="6">
        <v>13.032999999999999</v>
      </c>
      <c r="O180" s="7">
        <v>13.945</v>
      </c>
      <c r="P180" s="3">
        <f t="shared" si="13"/>
        <v>12.514999999999999</v>
      </c>
      <c r="Q180" s="3">
        <f t="shared" si="14"/>
        <v>14.98</v>
      </c>
      <c r="R180" s="3">
        <f t="shared" si="15"/>
        <v>10.172000000000001</v>
      </c>
      <c r="S180" s="3">
        <f t="shared" si="16"/>
        <v>4.8079999999999998</v>
      </c>
      <c r="T180" s="3" cm="1">
        <f t="array" ref="T180">MAX((TRANSPOSE(I180:O180)-I180:O180)/I180:O180)</f>
        <v>0.47267007471490363</v>
      </c>
      <c r="U180" s="3" cm="1">
        <f t="array" ref="U180">MAX((J180:O180-I180:N180)/I180:N180)</f>
        <v>0.40000000000000013</v>
      </c>
      <c r="V180" s="3" cm="1">
        <f t="array" ref="V180">MIN((TRANSPOSE(I180:O180)-I180:O180)/I180:O180)</f>
        <v>-0.32096128170894522</v>
      </c>
      <c r="W180" s="3" cm="1">
        <f t="array" ref="W180">MIN((J180:O180-I180:N180)/I180:N180)</f>
        <v>-0.17185655253837065</v>
      </c>
      <c r="X180" s="3">
        <v>1.4000000000000001</v>
      </c>
      <c r="Y180" s="3">
        <v>1.2665420560747664</v>
      </c>
      <c r="Z180" s="3">
        <v>1.0488785046728972</v>
      </c>
      <c r="AA180" s="3">
        <v>0.95065420560747671</v>
      </c>
      <c r="AB180" s="3">
        <v>1.2180373831775702</v>
      </c>
      <c r="AC180" s="3">
        <f t="shared" si="17"/>
        <v>1.3032710280373834</v>
      </c>
    </row>
    <row r="181" spans="1:29" x14ac:dyDescent="0.3">
      <c r="A181">
        <v>3</v>
      </c>
      <c r="B181" t="s">
        <v>21</v>
      </c>
      <c r="C181" t="s">
        <v>490</v>
      </c>
      <c r="D181">
        <v>82</v>
      </c>
      <c r="E181" t="s">
        <v>444</v>
      </c>
      <c r="F181" t="s">
        <v>491</v>
      </c>
      <c r="G181" t="s">
        <v>519</v>
      </c>
      <c r="H181" s="7">
        <v>50</v>
      </c>
      <c r="I181" s="5">
        <v>37.104999999999997</v>
      </c>
      <c r="J181" s="6">
        <v>38.283999999999999</v>
      </c>
      <c r="K181" s="7">
        <v>42.284999999999997</v>
      </c>
      <c r="L181" s="6">
        <v>45.673000000000002</v>
      </c>
      <c r="M181" s="7">
        <v>47.460999999999999</v>
      </c>
      <c r="N181" s="6">
        <v>46.962000000000003</v>
      </c>
      <c r="O181" s="7">
        <v>50.564999999999998</v>
      </c>
      <c r="P181" s="3">
        <f t="shared" si="13"/>
        <v>44.04785714285714</v>
      </c>
      <c r="Q181" s="3">
        <f t="shared" si="14"/>
        <v>50.564999999999998</v>
      </c>
      <c r="R181" s="3">
        <f t="shared" si="15"/>
        <v>37.104999999999997</v>
      </c>
      <c r="S181" s="3">
        <f t="shared" si="16"/>
        <v>13.46</v>
      </c>
      <c r="T181" s="3" cm="1">
        <f t="array" ref="T181">MAX((TRANSPOSE(I181:O181)-I181:O181)/I181:O181)</f>
        <v>0.36275434577550203</v>
      </c>
      <c r="U181" s="3" cm="1">
        <f t="array" ref="U181">MAX((J181:O181-I181:N181)/I181:N181)</f>
        <v>0.10450841082436521</v>
      </c>
      <c r="V181" s="3" cm="1">
        <f t="array" ref="V181">MIN((TRANSPOSE(I181:O181)-I181:O181)/I181:O181)</f>
        <v>-0.26619203006031844</v>
      </c>
      <c r="W181" s="3" cm="1">
        <f t="array" ref="W181">MIN((J181:O181-I181:N181)/I181:N181)</f>
        <v>-1.0513895619561224E-2</v>
      </c>
      <c r="X181" s="3">
        <v>1.0317746934375422</v>
      </c>
      <c r="Y181" s="3">
        <v>1.1396038269774964</v>
      </c>
      <c r="Z181" s="3">
        <v>1.2309122759735887</v>
      </c>
      <c r="AA181" s="3">
        <v>1.2790998517719985</v>
      </c>
      <c r="AB181" s="3">
        <v>1.2656515294434714</v>
      </c>
      <c r="AC181" s="3">
        <f t="shared" si="17"/>
        <v>1.362754345775502</v>
      </c>
    </row>
    <row r="182" spans="1:29" x14ac:dyDescent="0.3">
      <c r="A182">
        <v>1</v>
      </c>
      <c r="B182" t="s">
        <v>35</v>
      </c>
      <c r="C182" t="s">
        <v>492</v>
      </c>
      <c r="D182">
        <v>21</v>
      </c>
      <c r="E182" t="s">
        <v>150</v>
      </c>
      <c r="F182" t="s">
        <v>493</v>
      </c>
      <c r="G182" t="s">
        <v>519</v>
      </c>
      <c r="H182" s="4">
        <v>13.5</v>
      </c>
      <c r="I182" s="5">
        <v>5.9</v>
      </c>
      <c r="J182" s="6">
        <v>9.6430000000000007</v>
      </c>
      <c r="K182" s="7">
        <v>11.076000000000001</v>
      </c>
      <c r="L182" s="6">
        <v>13.116</v>
      </c>
      <c r="M182" s="7">
        <v>14.196</v>
      </c>
      <c r="N182" s="6">
        <v>14.904999999999999</v>
      </c>
      <c r="O182" s="7">
        <v>13.945</v>
      </c>
      <c r="P182" s="3">
        <f t="shared" si="13"/>
        <v>11.825857142857144</v>
      </c>
      <c r="Q182" s="3">
        <f t="shared" si="14"/>
        <v>14.904999999999999</v>
      </c>
      <c r="R182" s="3">
        <f t="shared" si="15"/>
        <v>5.9</v>
      </c>
      <c r="S182" s="3">
        <f t="shared" si="16"/>
        <v>9.004999999999999</v>
      </c>
      <c r="T182" s="3" cm="1">
        <f t="array" ref="T182">MAX((TRANSPOSE(I182:O182)-I182:O182)/I182:O182)</f>
        <v>1.5262711864406777</v>
      </c>
      <c r="U182" s="3" cm="1">
        <f t="array" ref="U182">MAX((J182:O182-I182:N182)/I182:N182)</f>
        <v>0.634406779661017</v>
      </c>
      <c r="V182" s="3" cm="1">
        <f t="array" ref="V182">MIN((TRANSPOSE(I182:O182)-I182:O182)/I182:O182)</f>
        <v>-0.60415967796041592</v>
      </c>
      <c r="W182" s="3" cm="1">
        <f t="array" ref="W182">MIN((J182:O182-I182:N182)/I182:N182)</f>
        <v>-6.4407916806440729E-2</v>
      </c>
      <c r="X182" s="3">
        <v>1.6344067796610169</v>
      </c>
      <c r="Y182" s="3">
        <v>1.8772881355932203</v>
      </c>
      <c r="Z182" s="3">
        <v>2.2230508474576269</v>
      </c>
      <c r="AA182" s="3">
        <v>2.4061016949152538</v>
      </c>
      <c r="AB182" s="3">
        <v>2.5262711864406775</v>
      </c>
      <c r="AC182" s="3">
        <f t="shared" si="17"/>
        <v>2.3635593220338982</v>
      </c>
    </row>
    <row r="183" spans="1:29" x14ac:dyDescent="0.3">
      <c r="A183">
        <v>3</v>
      </c>
      <c r="B183" t="s">
        <v>21</v>
      </c>
      <c r="C183" t="s">
        <v>494</v>
      </c>
      <c r="D183">
        <v>30</v>
      </c>
      <c r="E183" t="s">
        <v>58</v>
      </c>
      <c r="F183" t="s">
        <v>495</v>
      </c>
      <c r="G183" t="s">
        <v>519</v>
      </c>
      <c r="H183" s="4">
        <v>37.200000000000003</v>
      </c>
      <c r="I183" s="5">
        <v>29.402000000000001</v>
      </c>
      <c r="J183" s="6">
        <v>26.103000000000002</v>
      </c>
      <c r="K183" s="7">
        <v>31.251999999999999</v>
      </c>
      <c r="L183" s="6">
        <v>31.312999999999999</v>
      </c>
      <c r="M183" s="7">
        <v>37.381</v>
      </c>
      <c r="N183" s="6">
        <v>36.433</v>
      </c>
      <c r="O183" s="7">
        <v>38.883000000000003</v>
      </c>
      <c r="P183" s="3">
        <f t="shared" si="13"/>
        <v>32.966714285714289</v>
      </c>
      <c r="Q183" s="3">
        <f t="shared" si="14"/>
        <v>38.883000000000003</v>
      </c>
      <c r="R183" s="3">
        <f t="shared" si="15"/>
        <v>26.103000000000002</v>
      </c>
      <c r="S183" s="3">
        <f t="shared" si="16"/>
        <v>12.780000000000001</v>
      </c>
      <c r="T183" s="3" cm="1">
        <f t="array" ref="T183">MAX((TRANSPOSE(I183:O183)-I183:O183)/I183:O183)</f>
        <v>0.48959889667854273</v>
      </c>
      <c r="U183" s="3" cm="1">
        <f t="array" ref="U183">MAX((J183:O183-I183:N183)/I183:N183)</f>
        <v>0.19725702026586972</v>
      </c>
      <c r="V183" s="3" cm="1">
        <f t="array" ref="V183">MIN((TRANSPOSE(I183:O183)-I183:O183)/I183:O183)</f>
        <v>-0.32867834272046909</v>
      </c>
      <c r="W183" s="3" cm="1">
        <f t="array" ref="W183">MIN((J183:O183-I183:N183)/I183:N183)</f>
        <v>-0.11220325147949117</v>
      </c>
      <c r="X183" s="3">
        <v>0.88779674852050883</v>
      </c>
      <c r="Y183" s="3">
        <v>1.0629208897353921</v>
      </c>
      <c r="Z183" s="3">
        <v>1.0649955785320726</v>
      </c>
      <c r="AA183" s="3">
        <v>1.2713760968641588</v>
      </c>
      <c r="AB183" s="3">
        <v>1.2391333922862391</v>
      </c>
      <c r="AC183" s="3">
        <f t="shared" si="17"/>
        <v>1.3224610570709476</v>
      </c>
    </row>
    <row r="184" spans="1:29" x14ac:dyDescent="0.3">
      <c r="A184">
        <v>2</v>
      </c>
      <c r="B184" t="s">
        <v>25</v>
      </c>
      <c r="C184" t="s">
        <v>496</v>
      </c>
      <c r="D184">
        <v>98</v>
      </c>
      <c r="E184" t="s">
        <v>497</v>
      </c>
      <c r="F184" t="s">
        <v>498</v>
      </c>
      <c r="G184" t="s">
        <v>519</v>
      </c>
      <c r="H184" s="4">
        <v>11.5</v>
      </c>
      <c r="I184" s="5">
        <v>6.7</v>
      </c>
      <c r="J184" s="6">
        <v>7.3959999999999999</v>
      </c>
      <c r="K184" s="7">
        <v>8.8480000000000008</v>
      </c>
      <c r="L184" s="6">
        <v>8.4870000000000001</v>
      </c>
      <c r="M184" s="7">
        <v>10.172000000000001</v>
      </c>
      <c r="N184" s="6">
        <v>10.988</v>
      </c>
      <c r="O184" s="7">
        <v>12.298999999999999</v>
      </c>
      <c r="P184" s="3">
        <f t="shared" si="13"/>
        <v>9.2700000000000014</v>
      </c>
      <c r="Q184" s="3">
        <f t="shared" si="14"/>
        <v>12.298999999999999</v>
      </c>
      <c r="R184" s="3">
        <f t="shared" si="15"/>
        <v>6.7</v>
      </c>
      <c r="S184" s="3">
        <f t="shared" si="16"/>
        <v>5.5989999999999993</v>
      </c>
      <c r="T184" s="3" cm="1">
        <f t="array" ref="T184">MAX((TRANSPOSE(I184:O184)-I184:O184)/I184:O184)</f>
        <v>0.83567164179104469</v>
      </c>
      <c r="U184" s="3" cm="1">
        <f t="array" ref="U184">MAX((J184:O184-I184:N184)/I184:N184)</f>
        <v>0.19853894191115831</v>
      </c>
      <c r="V184" s="3" cm="1">
        <f t="array" ref="V184">MIN((TRANSPOSE(I184:O184)-I184:O184)/I184:O184)</f>
        <v>-0.45524026343605167</v>
      </c>
      <c r="W184" s="3" cm="1">
        <f t="array" ref="W184">MIN((J184:O184-I184:N184)/I184:N184)</f>
        <v>-4.0800180831826474E-2</v>
      </c>
      <c r="X184" s="3">
        <v>1.1038805970149252</v>
      </c>
      <c r="Y184" s="3">
        <v>1.3205970149253732</v>
      </c>
      <c r="Z184" s="3">
        <v>1.2667164179104478</v>
      </c>
      <c r="AA184" s="3">
        <v>1.5182089552238807</v>
      </c>
      <c r="AB184" s="3">
        <v>1.64</v>
      </c>
      <c r="AC184" s="3">
        <f t="shared" si="17"/>
        <v>1.8356716417910446</v>
      </c>
    </row>
    <row r="185" spans="1:29" x14ac:dyDescent="0.3">
      <c r="A185">
        <v>3</v>
      </c>
      <c r="B185" t="s">
        <v>21</v>
      </c>
      <c r="C185" t="s">
        <v>499</v>
      </c>
      <c r="D185">
        <v>81</v>
      </c>
      <c r="E185" t="s">
        <v>486</v>
      </c>
      <c r="F185" t="s">
        <v>500</v>
      </c>
      <c r="G185" t="s">
        <v>519</v>
      </c>
      <c r="H185" s="7">
        <v>61.5</v>
      </c>
      <c r="I185" s="5">
        <v>41.92</v>
      </c>
      <c r="J185" s="6">
        <v>47.01</v>
      </c>
      <c r="K185" s="7">
        <v>49.334000000000003</v>
      </c>
      <c r="L185" s="6">
        <v>54.576000000000001</v>
      </c>
      <c r="M185" s="7">
        <v>55.906999999999996</v>
      </c>
      <c r="N185" s="6">
        <v>58.543999999999997</v>
      </c>
      <c r="O185" s="7">
        <v>62.843000000000004</v>
      </c>
      <c r="P185" s="3">
        <f t="shared" si="13"/>
        <v>52.876285714285714</v>
      </c>
      <c r="Q185" s="3">
        <f t="shared" si="14"/>
        <v>62.843000000000004</v>
      </c>
      <c r="R185" s="3">
        <f t="shared" si="15"/>
        <v>41.92</v>
      </c>
      <c r="S185" s="3">
        <f t="shared" si="16"/>
        <v>20.923000000000002</v>
      </c>
      <c r="T185" s="3" cm="1">
        <f t="array" ref="T185">MAX((TRANSPOSE(I185:O185)-I185:O185)/I185:O185)</f>
        <v>0.49911736641221377</v>
      </c>
      <c r="U185" s="3" cm="1">
        <f t="array" ref="U185">MAX((J185:O185-I185:N185)/I185:N185)</f>
        <v>0.12142175572519075</v>
      </c>
      <c r="V185" s="3" cm="1">
        <f t="array" ref="V185">MIN((TRANSPOSE(I185:O185)-I185:O185)/I185:O185)</f>
        <v>-0.33294082077558362</v>
      </c>
      <c r="W185" s="3" cm="1">
        <f t="array" ref="W185">MIN((J185:O185-I185:N185)/I185:N185)</f>
        <v>2.4388009381413001E-2</v>
      </c>
      <c r="X185" s="3">
        <v>1.1214217557251906</v>
      </c>
      <c r="Y185" s="3">
        <v>1.1768606870229008</v>
      </c>
      <c r="Z185" s="3">
        <v>1.3019083969465648</v>
      </c>
      <c r="AA185" s="3">
        <v>1.3336593511450381</v>
      </c>
      <c r="AB185" s="3">
        <v>1.3965648854961832</v>
      </c>
      <c r="AC185" s="3">
        <f t="shared" si="17"/>
        <v>1.4991173664122137</v>
      </c>
    </row>
    <row r="186" spans="1:29" x14ac:dyDescent="0.3">
      <c r="A186">
        <v>3</v>
      </c>
      <c r="B186" t="s">
        <v>21</v>
      </c>
      <c r="C186" t="s">
        <v>501</v>
      </c>
      <c r="D186">
        <v>43</v>
      </c>
      <c r="E186" t="s">
        <v>145</v>
      </c>
      <c r="F186" t="s">
        <v>502</v>
      </c>
      <c r="G186" t="s">
        <v>519</v>
      </c>
      <c r="H186" s="4">
        <v>80.599999999999994</v>
      </c>
      <c r="I186" s="5">
        <v>55.4</v>
      </c>
      <c r="J186" s="6">
        <v>56.872999999999998</v>
      </c>
      <c r="K186" s="7">
        <v>60.981000000000002</v>
      </c>
      <c r="L186" s="6">
        <v>69.709999999999994</v>
      </c>
      <c r="M186" s="7">
        <v>73.013999999999996</v>
      </c>
      <c r="N186" s="6">
        <v>79.382000000000005</v>
      </c>
      <c r="O186" s="7">
        <v>83.79</v>
      </c>
      <c r="P186" s="3">
        <f t="shared" si="13"/>
        <v>68.45</v>
      </c>
      <c r="Q186" s="3">
        <f t="shared" si="14"/>
        <v>83.79</v>
      </c>
      <c r="R186" s="3">
        <f t="shared" si="15"/>
        <v>55.4</v>
      </c>
      <c r="S186" s="3">
        <f t="shared" si="16"/>
        <v>28.390000000000008</v>
      </c>
      <c r="T186" s="3" cm="1">
        <f t="array" ref="T186">MAX((TRANSPOSE(I186:O186)-I186:O186)/I186:O186)</f>
        <v>0.51245487364620956</v>
      </c>
      <c r="U186" s="3" cm="1">
        <f t="array" ref="U186">MAX((J186:O186-I186:N186)/I186:N186)</f>
        <v>0.14314294616355902</v>
      </c>
      <c r="V186" s="3" cm="1">
        <f t="array" ref="V186">MIN((TRANSPOSE(I186:O186)-I186:O186)/I186:O186)</f>
        <v>-0.33882324859768476</v>
      </c>
      <c r="W186" s="3" cm="1">
        <f t="array" ref="W186">MIN((J186:O186-I186:N186)/I186:N186)</f>
        <v>2.6588447653429586E-2</v>
      </c>
      <c r="X186" s="3">
        <v>1.0265884476534295</v>
      </c>
      <c r="Y186" s="3">
        <v>1.1007400722021661</v>
      </c>
      <c r="Z186" s="3">
        <v>1.2583032490974728</v>
      </c>
      <c r="AA186" s="3">
        <v>1.317942238267148</v>
      </c>
      <c r="AB186" s="3">
        <v>1.4328880866425995</v>
      </c>
      <c r="AC186" s="3">
        <f t="shared" si="17"/>
        <v>1.5124548736462096</v>
      </c>
    </row>
    <row r="187" spans="1:29" x14ac:dyDescent="0.3">
      <c r="A187">
        <v>2</v>
      </c>
      <c r="B187" t="s">
        <v>25</v>
      </c>
      <c r="C187" t="s">
        <v>503</v>
      </c>
      <c r="D187">
        <v>41</v>
      </c>
      <c r="E187" t="s">
        <v>118</v>
      </c>
      <c r="F187" t="s">
        <v>504</v>
      </c>
      <c r="G187" t="s">
        <v>519</v>
      </c>
      <c r="H187" s="4">
        <v>61.3</v>
      </c>
      <c r="I187" s="5">
        <v>64.216999999999999</v>
      </c>
      <c r="J187" s="6">
        <v>61.805</v>
      </c>
      <c r="K187" s="7">
        <v>59.448</v>
      </c>
      <c r="L187" s="6">
        <v>61.469000000000001</v>
      </c>
      <c r="M187" s="7">
        <v>58.902999999999999</v>
      </c>
      <c r="N187" s="6">
        <v>59.597000000000001</v>
      </c>
      <c r="O187" s="7">
        <v>61.134999999999998</v>
      </c>
      <c r="P187" s="3">
        <f t="shared" si="13"/>
        <v>60.939142857142848</v>
      </c>
      <c r="Q187" s="3">
        <f t="shared" si="14"/>
        <v>64.216999999999999</v>
      </c>
      <c r="R187" s="3">
        <f t="shared" si="15"/>
        <v>58.902999999999999</v>
      </c>
      <c r="S187" s="3">
        <f t="shared" si="16"/>
        <v>5.3140000000000001</v>
      </c>
      <c r="T187" s="3" cm="1">
        <f t="array" ref="T187">MAX((TRANSPOSE(I187:O187)-I187:O187)/I187:O187)</f>
        <v>9.0216118024548833E-2</v>
      </c>
      <c r="U187" s="3" cm="1">
        <f t="array" ref="U187">MAX((J187:O187-I187:N187)/I187:N187)</f>
        <v>3.3996097429686463E-2</v>
      </c>
      <c r="V187" s="3" cm="1">
        <f t="array" ref="V187">MIN((TRANSPOSE(I187:O187)-I187:O187)/I187:O187)</f>
        <v>-8.2750673497671956E-2</v>
      </c>
      <c r="W187" s="3" cm="1">
        <f t="array" ref="W187">MIN((J187:O187-I187:N187)/I187:N187)</f>
        <v>-4.1744619238966024E-2</v>
      </c>
      <c r="X187" s="3">
        <v>0.9624398523755392</v>
      </c>
      <c r="Y187" s="3">
        <v>0.92573617577899936</v>
      </c>
      <c r="Z187" s="3">
        <v>0.95720759300496761</v>
      </c>
      <c r="AA187" s="3">
        <v>0.91724932650232804</v>
      </c>
      <c r="AB187" s="3">
        <v>0.92805643365463975</v>
      </c>
      <c r="AC187" s="3">
        <f t="shared" si="17"/>
        <v>0.95200647803541116</v>
      </c>
    </row>
    <row r="188" spans="1:29" x14ac:dyDescent="0.3">
      <c r="A188">
        <v>2</v>
      </c>
      <c r="B188" t="s">
        <v>25</v>
      </c>
      <c r="C188" t="s">
        <v>505</v>
      </c>
      <c r="D188">
        <v>54</v>
      </c>
      <c r="E188" t="s">
        <v>88</v>
      </c>
      <c r="F188" t="s">
        <v>506</v>
      </c>
      <c r="G188" t="s">
        <v>519</v>
      </c>
      <c r="H188" s="4">
        <v>23</v>
      </c>
      <c r="I188" s="5">
        <v>18.754999999999999</v>
      </c>
      <c r="J188" s="6">
        <v>17.338999999999999</v>
      </c>
      <c r="K188" s="7">
        <v>16.684999999999999</v>
      </c>
      <c r="L188" s="6">
        <v>20.03</v>
      </c>
      <c r="M188" s="7">
        <v>21.442</v>
      </c>
      <c r="N188" s="6">
        <v>24.379000000000001</v>
      </c>
      <c r="O188" s="15">
        <v>23.042000000000002</v>
      </c>
      <c r="P188" s="3">
        <f t="shared" si="13"/>
        <v>20.238857142857146</v>
      </c>
      <c r="Q188" s="3">
        <f t="shared" si="14"/>
        <v>24.379000000000001</v>
      </c>
      <c r="R188" s="3">
        <f t="shared" si="15"/>
        <v>16.684999999999999</v>
      </c>
      <c r="S188" s="3">
        <f t="shared" si="16"/>
        <v>7.6940000000000026</v>
      </c>
      <c r="T188" s="3" cm="1">
        <f t="array" ref="T188">MAX((TRANSPOSE(I188:O188)-I188:O188)/I188:O188)</f>
        <v>0.46113275397063247</v>
      </c>
      <c r="U188" s="3" cm="1">
        <f t="array" ref="U188">MAX((J188:O188-I188:N188)/I188:N188)</f>
        <v>0.20047947258016199</v>
      </c>
      <c r="V188" s="3" cm="1">
        <f t="array" ref="V188">MIN((TRANSPOSE(I188:O188)-I188:O188)/I188:O188)</f>
        <v>-0.31559949136551957</v>
      </c>
      <c r="W188" s="3" cm="1">
        <f t="array" ref="W188">MIN((J188:O188-I188:N188)/I188:N188)</f>
        <v>-7.5499866702212773E-2</v>
      </c>
      <c r="X188" s="3">
        <v>0.92450013329778724</v>
      </c>
      <c r="Y188" s="3">
        <v>0.88962943215142631</v>
      </c>
      <c r="Z188" s="3">
        <v>1.0679818715009333</v>
      </c>
      <c r="AA188" s="3">
        <v>1.1432684617435351</v>
      </c>
      <c r="AB188" s="3">
        <v>1.2998667022127435</v>
      </c>
      <c r="AC188" s="3">
        <f t="shared" si="17"/>
        <v>1.2285790455878434</v>
      </c>
    </row>
    <row r="189" spans="1:29" x14ac:dyDescent="0.3">
      <c r="A189">
        <v>3</v>
      </c>
      <c r="B189" t="s">
        <v>21</v>
      </c>
      <c r="C189" t="s">
        <v>507</v>
      </c>
      <c r="D189">
        <v>77</v>
      </c>
      <c r="E189" t="s">
        <v>262</v>
      </c>
      <c r="F189" t="s">
        <v>508</v>
      </c>
      <c r="G189" t="s">
        <v>519</v>
      </c>
      <c r="H189" s="4">
        <v>108.9</v>
      </c>
      <c r="I189" s="5">
        <v>91.504000000000005</v>
      </c>
      <c r="J189" s="6">
        <v>90.376999999999995</v>
      </c>
      <c r="K189" s="7">
        <v>91.063999999999993</v>
      </c>
      <c r="L189" s="6">
        <v>99.808000000000007</v>
      </c>
      <c r="M189" s="7">
        <v>107.89100000000001</v>
      </c>
      <c r="N189" s="6">
        <v>110.98699999999999</v>
      </c>
      <c r="O189" s="15">
        <v>110.60299999999999</v>
      </c>
      <c r="P189" s="3">
        <f t="shared" si="13"/>
        <v>100.31914285714285</v>
      </c>
      <c r="Q189" s="3">
        <f t="shared" si="14"/>
        <v>110.98699999999999</v>
      </c>
      <c r="R189" s="3">
        <f t="shared" si="15"/>
        <v>90.376999999999995</v>
      </c>
      <c r="S189" s="3">
        <f t="shared" si="16"/>
        <v>20.61</v>
      </c>
      <c r="T189" s="3" cm="1">
        <f t="array" ref="T189">MAX((TRANSPOSE(I189:O189)-I189:O189)/I189:O189)</f>
        <v>0.22804474589773949</v>
      </c>
      <c r="U189" s="3" cm="1">
        <f t="array" ref="U189">MAX((J189:O189-I189:N189)/I189:N189)</f>
        <v>9.602038127031555E-2</v>
      </c>
      <c r="V189" s="3" cm="1">
        <f t="array" ref="V189">MIN((TRANSPOSE(I189:O189)-I189:O189)/I189:O189)</f>
        <v>-0.18569742402263328</v>
      </c>
      <c r="W189" s="3" cm="1">
        <f t="array" ref="W189">MIN((J189:O189-I189:N189)/I189:N189)</f>
        <v>-1.2316401468788353E-2</v>
      </c>
      <c r="X189" s="3">
        <v>0.98768359853121168</v>
      </c>
      <c r="Y189" s="3">
        <v>0.99519146703969208</v>
      </c>
      <c r="Z189" s="3">
        <v>1.090750131141808</v>
      </c>
      <c r="AA189" s="3">
        <v>1.1790850673194615</v>
      </c>
      <c r="AB189" s="3">
        <v>1.2129196537856268</v>
      </c>
      <c r="AC189" s="3">
        <f t="shared" si="17"/>
        <v>1.2087231159293581</v>
      </c>
    </row>
    <row r="190" spans="1:29" x14ac:dyDescent="0.3">
      <c r="A190">
        <v>2</v>
      </c>
      <c r="B190" t="s">
        <v>25</v>
      </c>
      <c r="C190" t="s">
        <v>509</v>
      </c>
      <c r="D190">
        <v>116</v>
      </c>
      <c r="E190" t="s">
        <v>510</v>
      </c>
      <c r="F190" t="s">
        <v>511</v>
      </c>
      <c r="G190" t="s">
        <v>519</v>
      </c>
      <c r="H190" s="4">
        <v>23</v>
      </c>
      <c r="I190" s="16">
        <v>18.754999999999999</v>
      </c>
      <c r="J190" s="17">
        <v>17.675999999999998</v>
      </c>
      <c r="K190" s="18">
        <v>19.280999999999999</v>
      </c>
      <c r="L190" s="17">
        <v>22.207000000000001</v>
      </c>
      <c r="M190" s="18">
        <v>22.8</v>
      </c>
      <c r="N190" s="17">
        <v>22.062999999999999</v>
      </c>
      <c r="O190" s="19">
        <v>21.687000000000001</v>
      </c>
      <c r="P190" s="3">
        <f t="shared" si="13"/>
        <v>20.63842857142857</v>
      </c>
      <c r="Q190" s="3">
        <f t="shared" si="14"/>
        <v>22.8</v>
      </c>
      <c r="R190" s="3">
        <f t="shared" si="15"/>
        <v>17.675999999999998</v>
      </c>
      <c r="S190" s="3">
        <f t="shared" si="16"/>
        <v>5.1240000000000023</v>
      </c>
      <c r="T190" s="3" cm="1">
        <f t="array" ref="T190">MAX((TRANSPOSE(I190:O190)-I190:O190)/I190:O190)</f>
        <v>0.28988458927359145</v>
      </c>
      <c r="U190" s="3" cm="1">
        <f t="array" ref="U190">MAX((J190:O190-I190:N190)/I190:N190)</f>
        <v>0.15175561433535617</v>
      </c>
      <c r="V190" s="3" cm="1">
        <f t="array" ref="V190">MIN((TRANSPOSE(I190:O190)-I190:O190)/I190:O190)</f>
        <v>-0.22473684210526326</v>
      </c>
      <c r="W190" s="3" cm="1">
        <f t="array" ref="W190">MIN((J190:O190-I190:N190)/I190:N190)</f>
        <v>-5.753132498000537E-2</v>
      </c>
      <c r="X190" s="3">
        <v>0.94246867501999465</v>
      </c>
      <c r="Y190" s="3">
        <v>1.0280458544388162</v>
      </c>
      <c r="Z190" s="3">
        <v>1.1840575846440951</v>
      </c>
      <c r="AA190" s="3">
        <v>1.2156758197813917</v>
      </c>
      <c r="AB190" s="3">
        <v>1.1763796320981073</v>
      </c>
      <c r="AC190" s="3">
        <f t="shared" si="17"/>
        <v>1.156331644894695</v>
      </c>
    </row>
    <row r="192" spans="1:29" x14ac:dyDescent="0.3">
      <c r="H192" s="20"/>
      <c r="I192" s="20"/>
      <c r="J192" s="20"/>
      <c r="K192" s="20"/>
      <c r="L192" s="20"/>
      <c r="M192" s="20"/>
      <c r="N192" s="20"/>
      <c r="O192" s="20"/>
    </row>
    <row r="193" spans="8:15" x14ac:dyDescent="0.3">
      <c r="H193" s="20"/>
      <c r="I193" s="20"/>
      <c r="J193" s="20"/>
      <c r="K193" s="20"/>
      <c r="L193" s="20"/>
      <c r="M193" s="20"/>
      <c r="N193" s="20"/>
      <c r="O193" s="20"/>
    </row>
  </sheetData>
  <autoFilter ref="A1:O190" xr:uid="{A2ADDA83-A7E1-471F-ABA8-F79B970E10AF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測定値_TAT1</vt:lpstr>
    </vt:vector>
  </TitlesOfParts>
  <Company>積水化学工業（株）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Hirano Takahiro</dc:creator>
  <cp:lastModifiedBy>Hirano Takahiro</cp:lastModifiedBy>
  <dcterms:created xsi:type="dcterms:W3CDTF">2026-08-05T05:01:38Z</dcterms:created>
  <dcterms:modified xsi:type="dcterms:W3CDTF">2026-08-05T09:35:18Z</dcterms:modified>
</cp:coreProperties>
</file>